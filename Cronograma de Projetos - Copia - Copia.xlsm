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hidePivotFieldList="1" autoCompressPictures="0"/>
  <bookViews>
    <workbookView xWindow="-120" yWindow="-120" windowWidth="20730" windowHeight="11160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Cronograma!$B$6:$N$50</definedName>
    <definedName name="_fld_ProjectName">Cronograma!$B$2</definedName>
    <definedName name="_fld_StartDateReal">Cronograma!$H$7</definedName>
    <definedName name="_PercentComplete">_PercentCompleteOffDeadline*_TimeFramePlanned</definedName>
    <definedName name="_PercentCompleteOffDeadline">(Cronograma!A$6=MEDIAN(Cronograma!A$6,_fld_StartDateReal,_fld_StartDateReal+Cronograma!$E1)*(_fld_StartDateReal&gt;0))*((Cronograma!A$6&lt;(INT(_fld_StartDateReal+Cronograma!$E1*Cronograma!$F1)))+(Cronograma!A$6=_fld_StartDateReal))*(Cronograma!$F1&gt;0)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Cronograma!A$6=MEDIAN(Cronograma!A$6,Cronograma!$G1,Cronograma!$G1+Cronograma!$D1-1)</definedName>
    <definedName name="_TimeFrameReal">Cronograma!A$6=MEDIAN(Cronograma!A$6,_fld_StartDateReal,_fld_StartDateReal+Cronograma!$E1-1)</definedName>
    <definedName name="_TimeFrameSelected">Cronograma!$J$2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" i="1" l="1"/>
  <c r="F7" i="1" l="1"/>
  <c r="I19" i="1" l="1"/>
  <c r="J19" i="1"/>
  <c r="J21" i="1" l="1"/>
  <c r="F47" i="1" l="1"/>
  <c r="F38" i="1"/>
  <c r="F29" i="1"/>
  <c r="F18" i="1"/>
  <c r="F22" i="1"/>
  <c r="K23" i="1"/>
  <c r="J44" i="1" l="1"/>
  <c r="K44" i="1" s="1"/>
  <c r="I44" i="1"/>
  <c r="J43" i="1"/>
  <c r="K43" i="1" s="1"/>
  <c r="I43" i="1"/>
  <c r="J42" i="1"/>
  <c r="K42" i="1" s="1"/>
  <c r="I42" i="1"/>
  <c r="J36" i="1"/>
  <c r="K36" i="1" s="1"/>
  <c r="I36" i="1"/>
  <c r="J35" i="1"/>
  <c r="K35" i="1" s="1"/>
  <c r="I35" i="1"/>
  <c r="J34" i="1"/>
  <c r="K34" i="1" s="1"/>
  <c r="I34" i="1"/>
  <c r="J33" i="1"/>
  <c r="K33" i="1" s="1"/>
  <c r="I33" i="1"/>
  <c r="J32" i="1"/>
  <c r="K32" i="1" s="1"/>
  <c r="I32" i="1"/>
  <c r="J27" i="1"/>
  <c r="K27" i="1" s="1"/>
  <c r="I27" i="1"/>
  <c r="J23" i="1"/>
  <c r="J24" i="1"/>
  <c r="K24" i="1" s="1"/>
  <c r="J25" i="1"/>
  <c r="K25" i="1" s="1"/>
  <c r="J26" i="1"/>
  <c r="K26" i="1" s="1"/>
  <c r="J28" i="1"/>
  <c r="K28" i="1" s="1"/>
  <c r="H22" i="1"/>
  <c r="J30" i="1"/>
  <c r="J31" i="1"/>
  <c r="K31" i="1" s="1"/>
  <c r="J37" i="1"/>
  <c r="K37" i="1" s="1"/>
  <c r="H29" i="1"/>
  <c r="J39" i="1"/>
  <c r="K39" i="1" s="1"/>
  <c r="J40" i="1"/>
  <c r="K40" i="1" s="1"/>
  <c r="J41" i="1"/>
  <c r="K41" i="1" s="1"/>
  <c r="J45" i="1"/>
  <c r="K45" i="1" s="1"/>
  <c r="J46" i="1"/>
  <c r="K46" i="1" s="1"/>
  <c r="H38" i="1"/>
  <c r="J48" i="1"/>
  <c r="K48" i="1" s="1"/>
  <c r="J49" i="1"/>
  <c r="K49" i="1" s="1"/>
  <c r="H47" i="1"/>
  <c r="P6" i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DL6" i="1" s="1"/>
  <c r="DM6" i="1" s="1"/>
  <c r="DN6" i="1" s="1"/>
  <c r="DO6" i="1" s="1"/>
  <c r="DP6" i="1" s="1"/>
  <c r="DQ6" i="1" s="1"/>
  <c r="DR6" i="1" s="1"/>
  <c r="DS6" i="1" s="1"/>
  <c r="DT6" i="1" s="1"/>
  <c r="DU6" i="1" s="1"/>
  <c r="DV6" i="1" s="1"/>
  <c r="DW6" i="1" s="1"/>
  <c r="DX6" i="1" s="1"/>
  <c r="DY6" i="1" s="1"/>
  <c r="DZ6" i="1" s="1"/>
  <c r="EA6" i="1" s="1"/>
  <c r="EB6" i="1" s="1"/>
  <c r="EC6" i="1" s="1"/>
  <c r="ED6" i="1" s="1"/>
  <c r="EE6" i="1" s="1"/>
  <c r="EF6" i="1" s="1"/>
  <c r="EG6" i="1" s="1"/>
  <c r="EH6" i="1" s="1"/>
  <c r="EI6" i="1" s="1"/>
  <c r="EJ6" i="1" s="1"/>
  <c r="EK6" i="1" s="1"/>
  <c r="EL6" i="1" s="1"/>
  <c r="EM6" i="1" s="1"/>
  <c r="EN6" i="1" s="1"/>
  <c r="EO6" i="1" s="1"/>
  <c r="EP6" i="1" s="1"/>
  <c r="EQ6" i="1" s="1"/>
  <c r="ER6" i="1" s="1"/>
  <c r="ES6" i="1" s="1"/>
  <c r="ET6" i="1" s="1"/>
  <c r="EU6" i="1" s="1"/>
  <c r="EV6" i="1" s="1"/>
  <c r="EW6" i="1" s="1"/>
  <c r="EX6" i="1" s="1"/>
  <c r="EY6" i="1" s="1"/>
  <c r="EZ6" i="1" s="1"/>
  <c r="FA6" i="1" s="1"/>
  <c r="FB6" i="1" s="1"/>
  <c r="FC6" i="1" s="1"/>
  <c r="FD6" i="1" s="1"/>
  <c r="FE6" i="1" s="1"/>
  <c r="FF6" i="1" s="1"/>
  <c r="FG6" i="1" s="1"/>
  <c r="FH6" i="1" s="1"/>
  <c r="FI6" i="1" s="1"/>
  <c r="FJ6" i="1" s="1"/>
  <c r="FK6" i="1" s="1"/>
  <c r="FL6" i="1" s="1"/>
  <c r="FM6" i="1" s="1"/>
  <c r="FN6" i="1" s="1"/>
  <c r="FO6" i="1" s="1"/>
  <c r="FP6" i="1" s="1"/>
  <c r="FQ6" i="1" s="1"/>
  <c r="FR6" i="1" s="1"/>
  <c r="FS6" i="1" s="1"/>
  <c r="FT6" i="1" s="1"/>
  <c r="FU6" i="1" s="1"/>
  <c r="FV6" i="1" s="1"/>
  <c r="FW6" i="1" s="1"/>
  <c r="FX6" i="1" s="1"/>
  <c r="FY6" i="1" s="1"/>
  <c r="FZ6" i="1" s="1"/>
  <c r="GA6" i="1" s="1"/>
  <c r="GB6" i="1" s="1"/>
  <c r="GC6" i="1" s="1"/>
  <c r="GD6" i="1" s="1"/>
  <c r="GE6" i="1" s="1"/>
  <c r="GF6" i="1" s="1"/>
  <c r="GG6" i="1" s="1"/>
  <c r="GH6" i="1" s="1"/>
  <c r="GI6" i="1" s="1"/>
  <c r="GJ6" i="1" s="1"/>
  <c r="GK6" i="1" s="1"/>
  <c r="GL6" i="1" s="1"/>
  <c r="GM6" i="1" s="1"/>
  <c r="GN6" i="1" s="1"/>
  <c r="GO6" i="1" s="1"/>
  <c r="GP6" i="1" s="1"/>
  <c r="GQ6" i="1" s="1"/>
  <c r="GR6" i="1" s="1"/>
  <c r="GS6" i="1" s="1"/>
  <c r="GT6" i="1" s="1"/>
  <c r="GU6" i="1" s="1"/>
  <c r="GV6" i="1" s="1"/>
  <c r="GW6" i="1" s="1"/>
  <c r="GX6" i="1" s="1"/>
  <c r="GY6" i="1" s="1"/>
  <c r="GZ6" i="1" s="1"/>
  <c r="HA6" i="1" s="1"/>
  <c r="HB6" i="1" s="1"/>
  <c r="HC6" i="1" s="1"/>
  <c r="HD6" i="1" s="1"/>
  <c r="HE6" i="1" s="1"/>
  <c r="HF6" i="1" s="1"/>
  <c r="HG6" i="1" s="1"/>
  <c r="I49" i="1"/>
  <c r="I48" i="1"/>
  <c r="I46" i="1"/>
  <c r="I45" i="1"/>
  <c r="I41" i="1"/>
  <c r="I40" i="1"/>
  <c r="I39" i="1"/>
  <c r="I37" i="1"/>
  <c r="I31" i="1"/>
  <c r="I30" i="1"/>
  <c r="I28" i="1"/>
  <c r="I26" i="1"/>
  <c r="I25" i="1"/>
  <c r="I24" i="1"/>
  <c r="I23" i="1"/>
  <c r="I21" i="1"/>
  <c r="I20" i="1"/>
  <c r="J17" i="1"/>
  <c r="K17" i="1" s="1"/>
  <c r="J15" i="1"/>
  <c r="K15" i="1" s="1"/>
  <c r="J14" i="1"/>
  <c r="K14" i="1" s="1"/>
  <c r="J9" i="1"/>
  <c r="K9" i="1" s="1"/>
  <c r="H18" i="1"/>
  <c r="G18" i="1"/>
  <c r="I14" i="1"/>
  <c r="I15" i="1"/>
  <c r="I17" i="1"/>
  <c r="G47" i="1"/>
  <c r="G22" i="1"/>
  <c r="G29" i="1"/>
  <c r="G38" i="1"/>
  <c r="C7" i="1"/>
  <c r="F8" i="1"/>
  <c r="J20" i="1"/>
  <c r="K20" i="1" s="1"/>
  <c r="K21" i="1"/>
  <c r="K19" i="1"/>
  <c r="H7" i="1" l="1"/>
  <c r="G7" i="1"/>
  <c r="B2" i="2" s="1"/>
  <c r="I22" i="1"/>
  <c r="D22" i="1" s="1"/>
  <c r="J47" i="1"/>
  <c r="E47" i="1" s="1"/>
  <c r="J38" i="1"/>
  <c r="E38" i="1" s="1"/>
  <c r="J22" i="1"/>
  <c r="E22" i="1" s="1"/>
  <c r="I18" i="1"/>
  <c r="D18" i="1" s="1"/>
  <c r="I8" i="1"/>
  <c r="D8" i="1" s="1"/>
  <c r="I29" i="1"/>
  <c r="D29" i="1" s="1"/>
  <c r="I38" i="1"/>
  <c r="D38" i="1" s="1"/>
  <c r="I47" i="1"/>
  <c r="D47" i="1" s="1"/>
  <c r="J29" i="1"/>
  <c r="E29" i="1" s="1"/>
  <c r="K30" i="1"/>
  <c r="J8" i="1"/>
  <c r="J18" i="1"/>
  <c r="E18" i="1" s="1"/>
  <c r="B5" i="2"/>
  <c r="I7" i="1" l="1"/>
  <c r="J7" i="1"/>
  <c r="E7" i="1" s="1"/>
  <c r="E8" i="1"/>
  <c r="C2" i="2" l="1"/>
  <c r="D7" i="1"/>
</calcChain>
</file>

<file path=xl/sharedStrings.xml><?xml version="1.0" encoding="utf-8"?>
<sst xmlns="http://schemas.openxmlformats.org/spreadsheetml/2006/main" count="438" uniqueCount="133">
  <si>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</si>
  <si>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</si>
  <si>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</si>
  <si>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</si>
  <si>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</si>
  <si>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</si>
  <si>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</si>
  <si>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</si>
  <si>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</si>
  <si>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</si>
  <si>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</si>
  <si>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</si>
  <si>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</si>
  <si>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</si>
  <si>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</si>
  <si>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</si>
  <si>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</si>
  <si>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</si>
  <si>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</si>
  <si>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</si>
  <si>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</si>
  <si>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</si>
  <si>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</si>
  <si>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</si>
  <si>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</si>
  <si>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</si>
  <si>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</si>
  <si>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</si>
  <si>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</si>
  <si>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</si>
  <si>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</si>
  <si>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</si>
  <si>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</si>
  <si>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</si>
  <si>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</si>
  <si>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</si>
  <si>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</si>
  <si>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</si>
  <si>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</si>
  <si>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</si>
  <si>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</si>
  <si>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</si>
  <si>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</si>
  <si>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</si>
  <si>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</si>
  <si>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</si>
  <si>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</si>
  <si>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</si>
  <si>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</si>
  <si>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</si>
  <si>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</si>
  <si>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</si>
  <si>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</si>
  <si>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</si>
  <si>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</si>
  <si>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</si>
  <si>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</si>
  <si>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</si>
  <si>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</si>
  <si>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</si>
  <si>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</si>
  <si>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</si>
  <si>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</si>
  <si>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</si>
  <si>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</si>
  <si>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</si>
  <si>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</si>
  <si>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</si>
  <si>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</si>
  <si>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</si>
  <si>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</si>
  <si>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</si>
  <si>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</si>
  <si>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</si>
  <si>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</si>
  <si>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</si>
  <si>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</si>
  <si>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</si>
  <si>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</si>
  <si>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</si>
  <si>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</si>
  <si>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</si>
  <si>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</si>
  <si>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</si>
  <si>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</si>
  <si>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</si>
  <si>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</si>
  <si>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</si>
  <si>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</si>
  <si>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</si>
  <si>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</si>
  <si>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</si>
  <si>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</si>
  <si>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</si>
  <si>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</si>
  <si>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</si>
  <si>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</si>
  <si>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</si>
  <si>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</si>
  <si>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</si>
  <si>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</si>
  <si>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</si>
  <si>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</si>
  <si>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</si>
  <si>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</si>
  <si>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</si>
  <si>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</si>
  <si>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</si>
  <si>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</si>
  <si>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</si>
  <si>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</si>
  <si>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</si>
  <si>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</si>
  <si>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</si>
  <si>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</si>
  <si>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1.5</t>
  </si>
  <si>
    <t>Verificação de ambiente 2</t>
  </si>
  <si>
    <t>Verificação de ambiente 3</t>
  </si>
  <si>
    <t>1.6</t>
  </si>
  <si>
    <t>1.7</t>
  </si>
  <si>
    <t>asdsada</t>
  </si>
  <si>
    <t>ola</t>
  </si>
  <si>
    <t>1.8</t>
  </si>
  <si>
    <t>1.9</t>
  </si>
  <si>
    <t>6.2</t>
  </si>
  <si>
    <t>6.4</t>
  </si>
  <si>
    <t>6.5</t>
  </si>
  <si>
    <t>6.6</t>
  </si>
  <si>
    <t>6.7</t>
  </si>
  <si>
    <t>6.8</t>
  </si>
  <si>
    <t>yyy</t>
  </si>
  <si>
    <t>testee</t>
  </si>
  <si>
    <t>Teste433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</si>
</sst>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\ \-\ ddd"/>
    <numFmt numFmtId="165" formatCode="ge\r\a\l"/>
  </numFmts>
  <fonts count="3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sz val="11"/>
      <color rgb="FF404040"/>
      <name val="Corbel"/>
      <family val="2"/>
    </font>
    <font>
      <sz val="10"/>
      <name val="DaxlinePro-Regular"/>
    </font>
    <font>
      <b/>
      <sz val="10"/>
      <name val="DaxlinePro-Regular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103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0" fontId="21" fillId="0" borderId="5" xfId="3" applyNumberFormat="1" applyFont="1" applyBorder="1" applyAlignment="1" applyProtection="1">
      <alignment horizontal="center" wrapText="1"/>
    </xf>
    <xf numFmtId="0" fontId="21" fillId="0" borderId="5" xfId="3" applyNumberFormat="1" applyFont="1" applyBorder="1" applyAlignment="1" applyProtection="1">
      <alignment horizontal="left"/>
    </xf>
    <xf numFmtId="3" fontId="22" fillId="0" borderId="5" xfId="3" applyFont="1" applyBorder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 wrapText="1"/>
    </xf>
    <xf numFmtId="0" fontId="32" fillId="7" borderId="0" xfId="2" applyNumberFormat="1" applyFont="1" applyFill="1" applyBorder="1" applyAlignment="1">
      <alignment horizontal="left" vertical="center"/>
    </xf>
    <xf numFmtId="0" fontId="21" fillId="0" borderId="0" xfId="3" applyNumberFormat="1" applyFont="1" applyBorder="1" applyAlignment="1" applyProtection="1">
      <alignment horizontal="left"/>
    </xf>
    <xf numFmtId="0" fontId="33" fillId="7" borderId="19" xfId="3" applyNumberFormat="1" applyFont="1" applyFill="1" applyBorder="1" applyAlignment="1" applyProtection="1">
      <alignment horizontal="left"/>
    </xf>
    <xf numFmtId="0" fontId="30" fillId="7" borderId="17" xfId="3" applyNumberFormat="1" applyFont="1" applyFill="1" applyBorder="1" applyAlignment="1" applyProtection="1">
      <alignment horizontal="left"/>
    </xf>
    <xf numFmtId="0" fontId="24" fillId="7" borderId="20" xfId="0" applyFont="1" applyFill="1" applyBorder="1" applyAlignment="1" applyProtection="1">
      <alignment horizontal="center" vertical="center"/>
    </xf>
    <xf numFmtId="0" fontId="25" fillId="7" borderId="16" xfId="2" applyFont="1" applyFill="1" applyBorder="1" applyAlignment="1" applyProtection="1">
      <alignment horizontal="left" vertical="center"/>
    </xf>
    <xf numFmtId="0" fontId="26" fillId="7" borderId="20" xfId="0" applyFont="1" applyFill="1" applyBorder="1" applyAlignment="1" applyProtection="1">
      <alignment horizontal="center" vertical="center"/>
      <protection locked="0"/>
    </xf>
    <xf numFmtId="0" fontId="27" fillId="7" borderId="16" xfId="2" applyFont="1" applyFill="1" applyBorder="1" applyAlignment="1" applyProtection="1">
      <alignment horizontal="left" vertical="center"/>
      <protection locked="0"/>
    </xf>
    <xf numFmtId="0" fontId="32" fillId="7" borderId="16" xfId="2" applyFont="1" applyFill="1" applyBorder="1" applyAlignment="1" applyProtection="1">
      <alignment horizontal="left" vertical="center"/>
      <protection locked="0"/>
    </xf>
    <xf numFmtId="0" fontId="32" fillId="7" borderId="18" xfId="2" applyFont="1" applyFill="1" applyBorder="1" applyAlignment="1" applyProtection="1">
      <alignment horizontal="left" vertical="center"/>
      <protection locked="0"/>
    </xf>
    <xf numFmtId="0" fontId="26" fillId="7" borderId="21" xfId="0" applyFont="1" applyFill="1" applyBorder="1" applyAlignment="1" applyProtection="1">
      <alignment horizontal="center" vertical="center"/>
      <protection locked="0"/>
    </xf>
    <xf numFmtId="0" fontId="24" fillId="7" borderId="21" xfId="0" applyFont="1" applyFill="1" applyBorder="1" applyAlignment="1" applyProtection="1">
      <alignment horizontal="center" vertical="center"/>
    </xf>
    <xf numFmtId="0" fontId="32" fillId="7" borderId="17" xfId="2" applyFont="1" applyFill="1" applyBorder="1" applyAlignment="1" applyProtection="1">
      <alignment horizontal="left" vertical="center"/>
      <protection locked="0"/>
    </xf>
    <xf numFmtId="0" fontId="27" fillId="7" borderId="22" xfId="2" applyFont="1" applyFill="1" applyBorder="1" applyAlignment="1" applyProtection="1">
      <alignment horizontal="left" vertical="center"/>
      <protection locked="0"/>
    </xf>
    <xf numFmtId="0" fontId="32" fillId="7" borderId="22" xfId="2" applyFont="1" applyFill="1" applyBorder="1" applyAlignment="1" applyProtection="1">
      <alignment horizontal="left" vertical="center"/>
      <protection locked="0"/>
    </xf>
    <xf numFmtId="0" fontId="25" fillId="7" borderId="22" xfId="2" applyFont="1" applyFill="1" applyBorder="1" applyAlignment="1" applyProtection="1">
      <alignment horizontal="left" vertical="center"/>
    </xf>
    <xf numFmtId="0" fontId="27" fillId="7" borderId="22" xfId="2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  <xf numFmtId="0" fontId="32" fillId="7" borderId="22" xfId="2" applyNumberFormat="1" applyFont="1" applyFill="1" applyBorder="1" applyAlignment="1">
      <alignment horizontal="left" vertical="center"/>
    </xf>
    <xf numFmtId="165" fontId="32" fillId="7" borderId="20" xfId="2" applyNumberFormat="1" applyFont="1" applyFill="1" applyBorder="1" applyAlignment="1" applyProtection="1">
      <alignment horizontal="left" vertical="center"/>
      <protection locked="0"/>
    </xf>
    <xf numFmtId="0" fontId="32" fillId="7" borderId="23" xfId="2" applyNumberFormat="1" applyFont="1" applyFill="1" applyBorder="1" applyAlignment="1">
      <alignment horizontal="left" vertical="center"/>
    </xf>
  </cellXfs>
  <cellStyles count="9">
    <cellStyle name="Activity" xfId="2"/>
    <cellStyle name="Label" xfId="5"/>
    <cellStyle name="Normal" xfId="0" builtinId="0" customBuiltin="1"/>
    <cellStyle name="Normal 2" xfId="8"/>
    <cellStyle name="Percent Complete" xfId="6"/>
    <cellStyle name="Period Headers" xfId="3"/>
    <cellStyle name="Period Highlight Control" xfId="7"/>
    <cellStyle name="Project Headers" xfId="4"/>
    <cellStyle name="Título 1" xfId="1" builtinId="16" customBuiltin="1"/>
  </cellStyles>
  <dxfs count="77"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colors>
    <mruColors>
      <color rgb="FFFFFFFF"/>
      <color rgb="FF004080"/>
      <color rgb="FF00407E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(Cronograma!$C$8,Cronograma!$C$18,Cronograma!$C$25,Cronograma!$C$30,Cronograma!$C$36,Cronograma!$C$40:$C$49)</c:f>
              <c:strCache>
                <c:ptCount val="15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Lições Aprendidas</c:v>
                </c:pt>
                <c:pt idx="14">
                  <c:v>Resumo de Projeto</c:v>
                </c:pt>
              </c:strCache>
            </c:strRef>
          </c:cat>
          <c:val>
            <c:numRef>
              <c:f>(Cronograma!$F$8,Cronograma!$F$18,Cronograma!$F$25,Cronograma!$F$30,Cronograma!$F$36,Cronograma!$F$40:$F$49)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1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50</xdr:row>
          <xdr:rowOff>200025</xdr:rowOff>
        </xdr:from>
        <xdr:to>
          <xdr:col>7</xdr:col>
          <xdr:colOff>742950</xdr:colOff>
          <xdr:row>55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404040"/>
                  </a:solidFill>
                  <a:latin typeface="Corbel"/>
                </a:rPr>
                <a:t>Botão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742.086350810183" createdVersion="6" refreshedVersion="6" minRefreshableVersion="3" recordCount="38">
  <cacheSource type="worksheet">
    <worksheetSource ref="B6:N47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55">
      <pivotArea outline="0" collapsedLevelsAreSubtotals="1" fieldPosition="0"/>
    </format>
    <format dxfId="54">
      <pivotArea dataOnly="0" labelOnly="1" grandRow="1" outline="0" fieldPosition="0"/>
    </format>
    <format dxfId="53">
      <pivotArea dataOnly="0" labelOnly="1" grandRow="1" outline="0" offset="A256" fieldPosition="0"/>
    </format>
    <format dxfId="52">
      <pivotArea field="9" type="button" dataOnly="0" labelOnly="1" outline="0" axis="axisPage" fieldPosition="0"/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type="topRight" dataOnly="0" labelOnly="1" outline="0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type="topRight" dataOnly="0" labelOnly="1" outline="0" fieldPosition="0"/>
    </format>
    <format dxfId="45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69">
      <pivotArea dataOnly="0" labelOnly="1" grandRow="1" outline="0" fieldPosition="0"/>
    </format>
    <format dxfId="68">
      <pivotArea dataOnly="0" labelOnly="1" grandRow="1" outline="0" fieldPosition="0"/>
    </format>
    <format dxfId="67">
      <pivotArea dataOnly="0" labelOnly="1" grandRow="1" outline="0" fieldPosition="0"/>
    </format>
    <format dxfId="66">
      <pivotArea dataOnly="0" labelOnly="1" grandRow="1" outline="0" fieldPosition="0"/>
    </format>
    <format dxfId="65">
      <pivotArea type="all" dataOnly="0" outline="0" fieldPosition="0"/>
    </format>
    <format dxfId="64">
      <pivotArea dataOnly="0" labelOnly="1" grandRow="1" outline="0" fieldPosition="0"/>
    </format>
    <format dxfId="63">
      <pivotArea dataOnly="0" labelOnly="1" grandRow="1" outline="0" fieldPosition="0"/>
    </format>
    <format dxfId="62">
      <pivotArea outline="0" collapsedLevelsAreSubtotals="1" fieldPosition="0"/>
    </format>
    <format dxfId="61">
      <pivotArea type="topRight" dataOnly="0" labelOnly="1" outline="0" fieldPosition="0"/>
    </format>
    <format dxfId="60">
      <pivotArea outline="0" collapsedLevelsAreSubtotals="1" fieldPosition="0"/>
    </format>
    <format dxfId="59">
      <pivotArea outline="0" collapsedLevelsAreSubtotals="1" fieldPosition="0"/>
    </format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ela2" displayName="Tabela2" ref="B1:C51" totalsRowShown="0" headerRowDxfId="76" dataDxfId="74" headerRowBorderDxfId="75" tableBorderDxfId="73" totalsRowBorderDxfId="72" headerRowCellStyle="Period Headers" dataCellStyle="Activity">
  <autoFilter ref="B1:C51"/>
  <tableColumns count="2">
    <tableColumn id="2" name="Item" dataDxfId="71" dataCellStyle="Activity"/>
    <tableColumn id="1" name="Atividade" dataDxfId="70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HG705"/>
  <sheetViews>
    <sheetView showGridLines="0" tabSelected="1" zoomScale="70" zoomScaleNormal="7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I13" sqref="I13"/>
    </sheetView>
  </sheetViews>
  <sheetFormatPr defaultColWidth="2.75" defaultRowHeight="17.25" outlineLevelRow="1"/>
  <cols>
    <col min="1" max="1" width="1.5" style="38" customWidth="1"/>
    <col min="2" max="2" width="8.875" style="38" bestFit="1" customWidth="1"/>
    <col min="3" max="3" width="25.875" style="65" bestFit="1" customWidth="1"/>
    <col min="4" max="5" width="11.375" style="33" customWidth="1"/>
    <col min="6" max="6" width="11.375" style="66" customWidth="1"/>
    <col min="7" max="7" width="12.25" style="33" bestFit="1" customWidth="1"/>
    <col min="8" max="8" width="15.25" style="33" customWidth="1"/>
    <col min="9" max="9" width="12.125" style="33" bestFit="1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s="27" customFormat="1" ht="21" customHeight="1">
      <c r="C1" s="28"/>
      <c r="D1" s="29"/>
      <c r="E1" s="29"/>
      <c r="F1" s="30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2:215" ht="30" customHeight="1">
      <c r="B2" s="94" t="s">
        <v>35</v>
      </c>
      <c r="C2" s="94"/>
      <c r="D2" s="94"/>
      <c r="E2" s="94"/>
      <c r="F2" s="94"/>
      <c r="G2" s="94"/>
      <c r="H2" s="95" t="s">
        <v>1</v>
      </c>
      <c r="I2" s="95"/>
      <c r="J2" s="31">
        <v>10</v>
      </c>
      <c r="K2" s="32"/>
      <c r="L2" s="32"/>
      <c r="M2" s="32"/>
      <c r="O2" s="34"/>
      <c r="P2" s="35" t="s">
        <v>23</v>
      </c>
      <c r="Q2" s="29"/>
      <c r="R2" s="29"/>
      <c r="S2" s="29"/>
      <c r="T2" s="36"/>
      <c r="U2" s="35" t="s">
        <v>0</v>
      </c>
      <c r="V2" s="27"/>
      <c r="W2" s="72"/>
      <c r="X2" s="37" t="s">
        <v>57</v>
      </c>
      <c r="Y2" s="38"/>
      <c r="AA2" s="38"/>
      <c r="AI2" s="38"/>
    </row>
    <row r="3" spans="2:215" ht="3" customHeight="1">
      <c r="B3" s="94"/>
      <c r="C3" s="94"/>
      <c r="D3" s="94"/>
      <c r="E3" s="94"/>
      <c r="F3" s="94"/>
      <c r="G3" s="94"/>
      <c r="O3" s="29"/>
      <c r="P3" s="29"/>
      <c r="Q3" s="29"/>
      <c r="R3" s="29"/>
      <c r="S3" s="29"/>
      <c r="T3" s="29"/>
      <c r="U3" s="29"/>
      <c r="V3" s="29"/>
      <c r="W3" s="29"/>
      <c r="X3" s="29"/>
      <c r="AC3" s="38"/>
      <c r="AD3" s="38"/>
      <c r="AE3" s="38"/>
      <c r="AF3" s="38"/>
      <c r="AG3" s="38"/>
      <c r="AH3" s="38"/>
      <c r="AI3" s="38"/>
    </row>
    <row r="4" spans="2:215" ht="30" customHeight="1">
      <c r="B4" s="94"/>
      <c r="C4" s="94"/>
      <c r="D4" s="94"/>
      <c r="E4" s="94"/>
      <c r="F4" s="94"/>
      <c r="G4" s="94"/>
      <c r="H4" s="95" t="s">
        <v>56</v>
      </c>
      <c r="I4" s="95"/>
      <c r="J4" s="39">
        <v>43746</v>
      </c>
      <c r="K4" s="40"/>
      <c r="L4" s="40"/>
      <c r="M4" s="40"/>
      <c r="O4" s="41"/>
      <c r="P4" s="35" t="s">
        <v>2</v>
      </c>
      <c r="Q4" s="27"/>
      <c r="R4" s="27"/>
      <c r="S4" s="27"/>
      <c r="T4" s="27"/>
      <c r="U4" s="27"/>
      <c r="V4" s="27"/>
      <c r="W4" s="73"/>
      <c r="X4" s="37" t="s">
        <v>58</v>
      </c>
      <c r="Y4" s="38"/>
      <c r="Z4" s="38"/>
      <c r="AA4" s="38"/>
      <c r="AE4" s="38"/>
      <c r="AF4" s="38"/>
      <c r="AG4" s="38"/>
      <c r="AH4" s="38"/>
      <c r="AI4" s="38"/>
      <c r="AR4" s="33"/>
      <c r="AS4" s="33"/>
      <c r="AT4" s="33"/>
      <c r="AU4" s="33"/>
      <c r="AV4" s="33"/>
    </row>
    <row r="5" spans="2:215" ht="3" customHeight="1">
      <c r="B5" s="94"/>
      <c r="C5" s="94"/>
      <c r="D5" s="94"/>
      <c r="E5" s="94"/>
      <c r="F5" s="94"/>
      <c r="G5" s="94"/>
      <c r="H5" s="42"/>
      <c r="I5" s="42"/>
      <c r="J5" s="42"/>
      <c r="K5" s="42"/>
      <c r="L5" s="42"/>
      <c r="M5" s="42"/>
      <c r="N5" s="43"/>
      <c r="O5" s="29"/>
      <c r="P5" s="29"/>
      <c r="Q5" s="29"/>
      <c r="R5" s="29"/>
      <c r="S5" s="29"/>
      <c r="T5" s="29"/>
      <c r="U5" s="29"/>
      <c r="V5" s="29"/>
      <c r="W5" s="29"/>
      <c r="X5" s="29"/>
      <c r="BA5" s="33"/>
      <c r="BB5" s="33"/>
      <c r="BC5" s="33"/>
    </row>
    <row r="6" spans="2:215" s="27" customFormat="1" ht="102" customHeight="1">
      <c r="B6" s="44" t="s">
        <v>44</v>
      </c>
      <c r="C6" s="45" t="s">
        <v>45</v>
      </c>
      <c r="D6" s="67" t="s">
        <v>114</v>
      </c>
      <c r="E6" s="67" t="s">
        <v>47</v>
      </c>
      <c r="F6" s="67" t="s">
        <v>48</v>
      </c>
      <c r="G6" s="67" t="s">
        <v>112</v>
      </c>
      <c r="H6" s="67" t="s">
        <v>50</v>
      </c>
      <c r="I6" s="67" t="s">
        <v>113</v>
      </c>
      <c r="J6" s="67" t="s">
        <v>52</v>
      </c>
      <c r="K6" s="67" t="s">
        <v>53</v>
      </c>
      <c r="L6" s="67" t="s">
        <v>54</v>
      </c>
      <c r="M6" s="67" t="s">
        <v>37</v>
      </c>
      <c r="N6" s="67" t="s">
        <v>55</v>
      </c>
      <c r="O6" s="46"/>
      <c r="P6" s="68">
        <f>$J$4</f>
        <v>43746</v>
      </c>
      <c r="Q6" s="69">
        <f>P6+1</f>
        <v>43747</v>
      </c>
      <c r="R6" s="68">
        <f t="shared" ref="R6:BW6" si="0">Q6+1</f>
        <v>43748</v>
      </c>
      <c r="S6" s="68">
        <f t="shared" si="0"/>
        <v>43749</v>
      </c>
      <c r="T6" s="68">
        <f t="shared" si="0"/>
        <v>43750</v>
      </c>
      <c r="U6" s="68">
        <f t="shared" si="0"/>
        <v>43751</v>
      </c>
      <c r="V6" s="68">
        <f t="shared" si="0"/>
        <v>43752</v>
      </c>
      <c r="W6" s="68">
        <f t="shared" si="0"/>
        <v>43753</v>
      </c>
      <c r="X6" s="68">
        <f t="shared" si="0"/>
        <v>43754</v>
      </c>
      <c r="Y6" s="68">
        <f t="shared" si="0"/>
        <v>43755</v>
      </c>
      <c r="Z6" s="68">
        <f t="shared" si="0"/>
        <v>43756</v>
      </c>
      <c r="AA6" s="68">
        <f t="shared" si="0"/>
        <v>43757</v>
      </c>
      <c r="AB6" s="68">
        <f t="shared" si="0"/>
        <v>43758</v>
      </c>
      <c r="AC6" s="68">
        <f t="shared" si="0"/>
        <v>43759</v>
      </c>
      <c r="AD6" s="68">
        <f t="shared" si="0"/>
        <v>43760</v>
      </c>
      <c r="AE6" s="68">
        <f t="shared" si="0"/>
        <v>43761</v>
      </c>
      <c r="AF6" s="68">
        <f t="shared" si="0"/>
        <v>43762</v>
      </c>
      <c r="AG6" s="68">
        <f t="shared" si="0"/>
        <v>43763</v>
      </c>
      <c r="AH6" s="68">
        <f t="shared" si="0"/>
        <v>43764</v>
      </c>
      <c r="AI6" s="68">
        <f t="shared" si="0"/>
        <v>43765</v>
      </c>
      <c r="AJ6" s="68">
        <f t="shared" si="0"/>
        <v>43766</v>
      </c>
      <c r="AK6" s="68">
        <f t="shared" si="0"/>
        <v>43767</v>
      </c>
      <c r="AL6" s="68">
        <f t="shared" si="0"/>
        <v>43768</v>
      </c>
      <c r="AM6" s="68">
        <f t="shared" si="0"/>
        <v>43769</v>
      </c>
      <c r="AN6" s="68">
        <f t="shared" si="0"/>
        <v>43770</v>
      </c>
      <c r="AO6" s="68">
        <f t="shared" si="0"/>
        <v>43771</v>
      </c>
      <c r="AP6" s="68">
        <f t="shared" si="0"/>
        <v>43772</v>
      </c>
      <c r="AQ6" s="68">
        <f t="shared" si="0"/>
        <v>43773</v>
      </c>
      <c r="AR6" s="68">
        <f t="shared" si="0"/>
        <v>43774</v>
      </c>
      <c r="AS6" s="68">
        <f t="shared" si="0"/>
        <v>43775</v>
      </c>
      <c r="AT6" s="68">
        <f t="shared" si="0"/>
        <v>43776</v>
      </c>
      <c r="AU6" s="68">
        <f t="shared" si="0"/>
        <v>43777</v>
      </c>
      <c r="AV6" s="68">
        <f t="shared" si="0"/>
        <v>43778</v>
      </c>
      <c r="AW6" s="68">
        <f t="shared" si="0"/>
        <v>43779</v>
      </c>
      <c r="AX6" s="68">
        <f t="shared" si="0"/>
        <v>43780</v>
      </c>
      <c r="AY6" s="68">
        <f t="shared" si="0"/>
        <v>43781</v>
      </c>
      <c r="AZ6" s="68">
        <f t="shared" si="0"/>
        <v>43782</v>
      </c>
      <c r="BA6" s="68">
        <f t="shared" si="0"/>
        <v>43783</v>
      </c>
      <c r="BB6" s="68">
        <f t="shared" si="0"/>
        <v>43784</v>
      </c>
      <c r="BC6" s="68">
        <f t="shared" si="0"/>
        <v>43785</v>
      </c>
      <c r="BD6" s="68">
        <f t="shared" si="0"/>
        <v>43786</v>
      </c>
      <c r="BE6" s="68">
        <f t="shared" si="0"/>
        <v>43787</v>
      </c>
      <c r="BF6" s="68">
        <f t="shared" si="0"/>
        <v>43788</v>
      </c>
      <c r="BG6" s="68">
        <f t="shared" si="0"/>
        <v>43789</v>
      </c>
      <c r="BH6" s="68">
        <f t="shared" si="0"/>
        <v>43790</v>
      </c>
      <c r="BI6" s="68">
        <f t="shared" si="0"/>
        <v>43791</v>
      </c>
      <c r="BJ6" s="68">
        <f t="shared" si="0"/>
        <v>43792</v>
      </c>
      <c r="BK6" s="68">
        <f t="shared" si="0"/>
        <v>43793</v>
      </c>
      <c r="BL6" s="68">
        <f t="shared" si="0"/>
        <v>43794</v>
      </c>
      <c r="BM6" s="68">
        <f t="shared" si="0"/>
        <v>43795</v>
      </c>
      <c r="BN6" s="68">
        <f t="shared" si="0"/>
        <v>43796</v>
      </c>
      <c r="BO6" s="68">
        <f t="shared" si="0"/>
        <v>43797</v>
      </c>
      <c r="BP6" s="68">
        <f t="shared" si="0"/>
        <v>43798</v>
      </c>
      <c r="BQ6" s="68">
        <f t="shared" si="0"/>
        <v>43799</v>
      </c>
      <c r="BR6" s="68">
        <f t="shared" si="0"/>
        <v>43800</v>
      </c>
      <c r="BS6" s="68">
        <f t="shared" si="0"/>
        <v>43801</v>
      </c>
      <c r="BT6" s="68">
        <f t="shared" si="0"/>
        <v>43802</v>
      </c>
      <c r="BU6" s="68">
        <f t="shared" si="0"/>
        <v>43803</v>
      </c>
      <c r="BV6" s="68">
        <f t="shared" si="0"/>
        <v>43804</v>
      </c>
      <c r="BW6" s="68">
        <f t="shared" si="0"/>
        <v>43805</v>
      </c>
      <c r="BX6" s="68">
        <f t="shared" ref="BX6" si="1">BW6+1</f>
        <v>43806</v>
      </c>
      <c r="BY6" s="68">
        <f t="shared" ref="BY6" si="2">BX6+1</f>
        <v>43807</v>
      </c>
      <c r="BZ6" s="68">
        <f t="shared" ref="BZ6" si="3">BY6+1</f>
        <v>43808</v>
      </c>
      <c r="CA6" s="68">
        <f t="shared" ref="CA6" si="4">BZ6+1</f>
        <v>43809</v>
      </c>
      <c r="CB6" s="68">
        <f t="shared" ref="CB6" si="5">CA6+1</f>
        <v>43810</v>
      </c>
      <c r="CC6" s="68">
        <f t="shared" ref="CC6" si="6">CB6+1</f>
        <v>43811</v>
      </c>
      <c r="CD6" s="68">
        <f t="shared" ref="CD6" si="7">CC6+1</f>
        <v>43812</v>
      </c>
      <c r="CE6" s="68">
        <f t="shared" ref="CE6" si="8">CD6+1</f>
        <v>43813</v>
      </c>
      <c r="CF6" s="68">
        <f t="shared" ref="CF6" si="9">CE6+1</f>
        <v>43814</v>
      </c>
      <c r="CG6" s="68">
        <f t="shared" ref="CG6" si="10">CF6+1</f>
        <v>43815</v>
      </c>
      <c r="CH6" s="68">
        <f t="shared" ref="CH6" si="11">CG6+1</f>
        <v>43816</v>
      </c>
      <c r="CI6" s="68">
        <f t="shared" ref="CI6" si="12">CH6+1</f>
        <v>43817</v>
      </c>
      <c r="CJ6" s="68">
        <f t="shared" ref="CJ6" si="13">CI6+1</f>
        <v>43818</v>
      </c>
      <c r="CK6" s="68">
        <f t="shared" ref="CK6" si="14">CJ6+1</f>
        <v>43819</v>
      </c>
      <c r="CL6" s="68">
        <f t="shared" ref="CL6" si="15">CK6+1</f>
        <v>43820</v>
      </c>
      <c r="CM6" s="68">
        <f t="shared" ref="CM6" si="16">CL6+1</f>
        <v>43821</v>
      </c>
      <c r="CN6" s="68">
        <f t="shared" ref="CN6" si="17">CM6+1</f>
        <v>43822</v>
      </c>
      <c r="CO6" s="68">
        <f t="shared" ref="CO6" si="18">CN6+1</f>
        <v>43823</v>
      </c>
      <c r="CP6" s="68">
        <f t="shared" ref="CP6" si="19">CO6+1</f>
        <v>43824</v>
      </c>
      <c r="CQ6" s="68">
        <f t="shared" ref="CQ6" si="20">CP6+1</f>
        <v>43825</v>
      </c>
      <c r="CR6" s="68">
        <f t="shared" ref="CR6" si="21">CQ6+1</f>
        <v>43826</v>
      </c>
      <c r="CS6" s="68">
        <f t="shared" ref="CS6" si="22">CR6+1</f>
        <v>43827</v>
      </c>
      <c r="CT6" s="68">
        <f t="shared" ref="CT6" si="23">CS6+1</f>
        <v>43828</v>
      </c>
      <c r="CU6" s="68">
        <f t="shared" ref="CU6" si="24">CT6+1</f>
        <v>43829</v>
      </c>
      <c r="CV6" s="68">
        <f t="shared" ref="CV6" si="25">CU6+1</f>
        <v>43830</v>
      </c>
      <c r="CW6" s="68">
        <f t="shared" ref="CW6" si="26">CV6+1</f>
        <v>43831</v>
      </c>
      <c r="CX6" s="68">
        <f t="shared" ref="CX6" si="27">CW6+1</f>
        <v>43832</v>
      </c>
      <c r="CY6" s="68">
        <f t="shared" ref="CY6" si="28">CX6+1</f>
        <v>43833</v>
      </c>
      <c r="CZ6" s="68">
        <f t="shared" ref="CZ6" si="29">CY6+1</f>
        <v>43834</v>
      </c>
      <c r="DA6" s="68">
        <f t="shared" ref="DA6" si="30">CZ6+1</f>
        <v>43835</v>
      </c>
      <c r="DB6" s="68">
        <f t="shared" ref="DB6" si="31">DA6+1</f>
        <v>43836</v>
      </c>
      <c r="DC6" s="68">
        <f t="shared" ref="DC6" si="32">DB6+1</f>
        <v>43837</v>
      </c>
      <c r="DD6" s="68">
        <f t="shared" ref="DD6" si="33">DC6+1</f>
        <v>43838</v>
      </c>
      <c r="DE6" s="68">
        <f t="shared" ref="DE6" si="34">DD6+1</f>
        <v>43839</v>
      </c>
      <c r="DF6" s="68">
        <f t="shared" ref="DF6" si="35">DE6+1</f>
        <v>43840</v>
      </c>
      <c r="DG6" s="68">
        <f t="shared" ref="DG6" si="36">DF6+1</f>
        <v>43841</v>
      </c>
      <c r="DH6" s="68">
        <f t="shared" ref="DH6" si="37">DG6+1</f>
        <v>43842</v>
      </c>
      <c r="DI6" s="68">
        <f t="shared" ref="DI6" si="38">DH6+1</f>
        <v>43843</v>
      </c>
      <c r="DJ6" s="68">
        <f t="shared" ref="DJ6" si="39">DI6+1</f>
        <v>43844</v>
      </c>
      <c r="DK6" s="68">
        <f t="shared" ref="DK6" si="40">DJ6+1</f>
        <v>43845</v>
      </c>
      <c r="DL6" s="68">
        <f t="shared" ref="DL6" si="41">DK6+1</f>
        <v>43846</v>
      </c>
      <c r="DM6" s="68">
        <f t="shared" ref="DM6" si="42">DL6+1</f>
        <v>43847</v>
      </c>
      <c r="DN6" s="68">
        <f t="shared" ref="DN6" si="43">DM6+1</f>
        <v>43848</v>
      </c>
      <c r="DO6" s="68">
        <f t="shared" ref="DO6" si="44">DN6+1</f>
        <v>43849</v>
      </c>
      <c r="DP6" s="68">
        <f t="shared" ref="DP6" si="45">DO6+1</f>
        <v>43850</v>
      </c>
      <c r="DQ6" s="68">
        <f t="shared" ref="DQ6" si="46">DP6+1</f>
        <v>43851</v>
      </c>
      <c r="DR6" s="68">
        <f t="shared" ref="DR6" si="47">DQ6+1</f>
        <v>43852</v>
      </c>
      <c r="DS6" s="68">
        <f t="shared" ref="DS6" si="48">DR6+1</f>
        <v>43853</v>
      </c>
      <c r="DT6" s="68">
        <f t="shared" ref="DT6" si="49">DS6+1</f>
        <v>43854</v>
      </c>
      <c r="DU6" s="68">
        <f t="shared" ref="DU6" si="50">DT6+1</f>
        <v>43855</v>
      </c>
      <c r="DV6" s="68">
        <f t="shared" ref="DV6" si="51">DU6+1</f>
        <v>43856</v>
      </c>
      <c r="DW6" s="68">
        <f t="shared" ref="DW6" si="52">DV6+1</f>
        <v>43857</v>
      </c>
      <c r="DX6" s="68">
        <f t="shared" ref="DX6" si="53">DW6+1</f>
        <v>43858</v>
      </c>
      <c r="DY6" s="68">
        <f t="shared" ref="DY6" si="54">DX6+1</f>
        <v>43859</v>
      </c>
      <c r="DZ6" s="68">
        <f t="shared" ref="DZ6" si="55">DY6+1</f>
        <v>43860</v>
      </c>
      <c r="EA6" s="68">
        <f t="shared" ref="EA6" si="56">DZ6+1</f>
        <v>43861</v>
      </c>
      <c r="EB6" s="68">
        <f t="shared" ref="EB6" si="57">EA6+1</f>
        <v>43862</v>
      </c>
      <c r="EC6" s="68">
        <f t="shared" ref="EC6" si="58">EB6+1</f>
        <v>43863</v>
      </c>
      <c r="ED6" s="68">
        <f t="shared" ref="ED6" si="59">EC6+1</f>
        <v>43864</v>
      </c>
      <c r="EE6" s="68">
        <f t="shared" ref="EE6" si="60">ED6+1</f>
        <v>43865</v>
      </c>
      <c r="EF6" s="68">
        <f t="shared" ref="EF6" si="61">EE6+1</f>
        <v>43866</v>
      </c>
      <c r="EG6" s="68">
        <f t="shared" ref="EG6" si="62">EF6+1</f>
        <v>43867</v>
      </c>
      <c r="EH6" s="68">
        <f t="shared" ref="EH6" si="63">EG6+1</f>
        <v>43868</v>
      </c>
      <c r="EI6" s="68">
        <f t="shared" ref="EI6" si="64">EH6+1</f>
        <v>43869</v>
      </c>
      <c r="EJ6" s="68">
        <f t="shared" ref="EJ6" si="65">EI6+1</f>
        <v>43870</v>
      </c>
      <c r="EK6" s="68">
        <f t="shared" ref="EK6" si="66">EJ6+1</f>
        <v>43871</v>
      </c>
      <c r="EL6" s="68">
        <f t="shared" ref="EL6" si="67">EK6+1</f>
        <v>43872</v>
      </c>
      <c r="EM6" s="68">
        <f t="shared" ref="EM6" si="68">EL6+1</f>
        <v>43873</v>
      </c>
      <c r="EN6" s="68">
        <f t="shared" ref="EN6" si="69">EM6+1</f>
        <v>43874</v>
      </c>
      <c r="EO6" s="68">
        <f t="shared" ref="EO6" si="70">EN6+1</f>
        <v>43875</v>
      </c>
      <c r="EP6" s="68">
        <f t="shared" ref="EP6" si="71">EO6+1</f>
        <v>43876</v>
      </c>
      <c r="EQ6" s="68">
        <f t="shared" ref="EQ6" si="72">EP6+1</f>
        <v>43877</v>
      </c>
      <c r="ER6" s="68">
        <f t="shared" ref="ER6" si="73">EQ6+1</f>
        <v>43878</v>
      </c>
      <c r="ES6" s="68">
        <f t="shared" ref="ES6" si="74">ER6+1</f>
        <v>43879</v>
      </c>
      <c r="ET6" s="68">
        <f t="shared" ref="ET6" si="75">ES6+1</f>
        <v>43880</v>
      </c>
      <c r="EU6" s="68">
        <f t="shared" ref="EU6" si="76">ET6+1</f>
        <v>43881</v>
      </c>
      <c r="EV6" s="68">
        <f t="shared" ref="EV6" si="77">EU6+1</f>
        <v>43882</v>
      </c>
      <c r="EW6" s="68">
        <f t="shared" ref="EW6" si="78">EV6+1</f>
        <v>43883</v>
      </c>
      <c r="EX6" s="68">
        <f t="shared" ref="EX6" si="79">EW6+1</f>
        <v>43884</v>
      </c>
      <c r="EY6" s="68">
        <f t="shared" ref="EY6" si="80">EX6+1</f>
        <v>43885</v>
      </c>
      <c r="EZ6" s="68">
        <f t="shared" ref="EZ6" si="81">EY6+1</f>
        <v>43886</v>
      </c>
      <c r="FA6" s="68">
        <f t="shared" ref="FA6" si="82">EZ6+1</f>
        <v>43887</v>
      </c>
      <c r="FB6" s="68">
        <f t="shared" ref="FB6" si="83">FA6+1</f>
        <v>43888</v>
      </c>
      <c r="FC6" s="68">
        <f t="shared" ref="FC6" si="84">FB6+1</f>
        <v>43889</v>
      </c>
      <c r="FD6" s="68">
        <f t="shared" ref="FD6" si="85">FC6+1</f>
        <v>43890</v>
      </c>
      <c r="FE6" s="68">
        <f t="shared" ref="FE6" si="86">FD6+1</f>
        <v>43891</v>
      </c>
      <c r="FF6" s="68">
        <f t="shared" ref="FF6" si="87">FE6+1</f>
        <v>43892</v>
      </c>
      <c r="FG6" s="68">
        <f t="shared" ref="FG6" si="88">FF6+1</f>
        <v>43893</v>
      </c>
      <c r="FH6" s="68">
        <f t="shared" ref="FH6" si="89">FG6+1</f>
        <v>43894</v>
      </c>
      <c r="FI6" s="68">
        <f t="shared" ref="FI6" si="90">FH6+1</f>
        <v>43895</v>
      </c>
      <c r="FJ6" s="68">
        <f t="shared" ref="FJ6" si="91">FI6+1</f>
        <v>43896</v>
      </c>
      <c r="FK6" s="68">
        <f t="shared" ref="FK6" si="92">FJ6+1</f>
        <v>43897</v>
      </c>
      <c r="FL6" s="68">
        <f t="shared" ref="FL6" si="93">FK6+1</f>
        <v>43898</v>
      </c>
      <c r="FM6" s="68">
        <f t="shared" ref="FM6" si="94">FL6+1</f>
        <v>43899</v>
      </c>
      <c r="FN6" s="68">
        <f t="shared" ref="FN6" si="95">FM6+1</f>
        <v>43900</v>
      </c>
      <c r="FO6" s="68">
        <f t="shared" ref="FO6" si="96">FN6+1</f>
        <v>43901</v>
      </c>
      <c r="FP6" s="68">
        <f t="shared" ref="FP6" si="97">FO6+1</f>
        <v>43902</v>
      </c>
      <c r="FQ6" s="68">
        <f t="shared" ref="FQ6" si="98">FP6+1</f>
        <v>43903</v>
      </c>
      <c r="FR6" s="68">
        <f t="shared" ref="FR6" si="99">FQ6+1</f>
        <v>43904</v>
      </c>
      <c r="FS6" s="68">
        <f t="shared" ref="FS6" si="100">FR6+1</f>
        <v>43905</v>
      </c>
      <c r="FT6" s="68">
        <f t="shared" ref="FT6" si="101">FS6+1</f>
        <v>43906</v>
      </c>
      <c r="FU6" s="68">
        <f t="shared" ref="FU6" si="102">FT6+1</f>
        <v>43907</v>
      </c>
      <c r="FV6" s="68">
        <f t="shared" ref="FV6" si="103">FU6+1</f>
        <v>43908</v>
      </c>
      <c r="FW6" s="68">
        <f t="shared" ref="FW6" si="104">FV6+1</f>
        <v>43909</v>
      </c>
      <c r="FX6" s="68">
        <f t="shared" ref="FX6" si="105">FW6+1</f>
        <v>43910</v>
      </c>
      <c r="FY6" s="68">
        <f t="shared" ref="FY6" si="106">FX6+1</f>
        <v>43911</v>
      </c>
      <c r="FZ6" s="68">
        <f t="shared" ref="FZ6" si="107">FY6+1</f>
        <v>43912</v>
      </c>
      <c r="GA6" s="68">
        <f t="shared" ref="GA6" si="108">FZ6+1</f>
        <v>43913</v>
      </c>
      <c r="GB6" s="68">
        <f t="shared" ref="GB6" si="109">GA6+1</f>
        <v>43914</v>
      </c>
      <c r="GC6" s="68">
        <f t="shared" ref="GC6" si="110">GB6+1</f>
        <v>43915</v>
      </c>
      <c r="GD6" s="68">
        <f t="shared" ref="GD6" si="111">GC6+1</f>
        <v>43916</v>
      </c>
      <c r="GE6" s="68">
        <f t="shared" ref="GE6" si="112">GD6+1</f>
        <v>43917</v>
      </c>
      <c r="GF6" s="68">
        <f t="shared" ref="GF6" si="113">GE6+1</f>
        <v>43918</v>
      </c>
      <c r="GG6" s="68">
        <f t="shared" ref="GG6" si="114">GF6+1</f>
        <v>43919</v>
      </c>
      <c r="GH6" s="68">
        <f t="shared" ref="GH6" si="115">GG6+1</f>
        <v>43920</v>
      </c>
      <c r="GI6" s="68">
        <f t="shared" ref="GI6" si="116">GH6+1</f>
        <v>43921</v>
      </c>
      <c r="GJ6" s="68">
        <f t="shared" ref="GJ6" si="117">GI6+1</f>
        <v>43922</v>
      </c>
      <c r="GK6" s="68">
        <f t="shared" ref="GK6" si="118">GJ6+1</f>
        <v>43923</v>
      </c>
      <c r="GL6" s="68">
        <f t="shared" ref="GL6" si="119">GK6+1</f>
        <v>43924</v>
      </c>
      <c r="GM6" s="68">
        <f t="shared" ref="GM6" si="120">GL6+1</f>
        <v>43925</v>
      </c>
      <c r="GN6" s="68">
        <f t="shared" ref="GN6" si="121">GM6+1</f>
        <v>43926</v>
      </c>
      <c r="GO6" s="68">
        <f t="shared" ref="GO6" si="122">GN6+1</f>
        <v>43927</v>
      </c>
      <c r="GP6" s="68">
        <f t="shared" ref="GP6" si="123">GO6+1</f>
        <v>43928</v>
      </c>
      <c r="GQ6" s="68">
        <f t="shared" ref="GQ6" si="124">GP6+1</f>
        <v>43929</v>
      </c>
      <c r="GR6" s="68">
        <f t="shared" ref="GR6" si="125">GQ6+1</f>
        <v>43930</v>
      </c>
      <c r="GS6" s="68">
        <f t="shared" ref="GS6" si="126">GR6+1</f>
        <v>43931</v>
      </c>
      <c r="GT6" s="68">
        <f t="shared" ref="GT6" si="127">GS6+1</f>
        <v>43932</v>
      </c>
      <c r="GU6" s="68">
        <f t="shared" ref="GU6" si="128">GT6+1</f>
        <v>43933</v>
      </c>
      <c r="GV6" s="68">
        <f t="shared" ref="GV6" si="129">GU6+1</f>
        <v>43934</v>
      </c>
      <c r="GW6" s="68">
        <f t="shared" ref="GW6" si="130">GV6+1</f>
        <v>43935</v>
      </c>
      <c r="GX6" s="68">
        <f t="shared" ref="GX6" si="131">GW6+1</f>
        <v>43936</v>
      </c>
      <c r="GY6" s="68">
        <f t="shared" ref="GY6" si="132">GX6+1</f>
        <v>43937</v>
      </c>
      <c r="GZ6" s="68">
        <f t="shared" ref="GZ6" si="133">GY6+1</f>
        <v>43938</v>
      </c>
      <c r="HA6" s="68">
        <f t="shared" ref="HA6" si="134">GZ6+1</f>
        <v>43939</v>
      </c>
      <c r="HB6" s="68">
        <f t="shared" ref="HB6" si="135">HA6+1</f>
        <v>43940</v>
      </c>
      <c r="HC6" s="68">
        <f t="shared" ref="HC6" si="136">HB6+1</f>
        <v>43941</v>
      </c>
      <c r="HD6" s="68">
        <f t="shared" ref="HD6" si="137">HC6+1</f>
        <v>43942</v>
      </c>
      <c r="HE6" s="68">
        <f t="shared" ref="HE6" si="138">HD6+1</f>
        <v>43943</v>
      </c>
      <c r="HF6" s="68">
        <f t="shared" ref="HF6" si="139">HE6+1</f>
        <v>43944</v>
      </c>
      <c r="HG6" s="68">
        <f t="shared" ref="HG6" si="140">HF6+1</f>
        <v>43945</v>
      </c>
    </row>
    <row r="7" spans="2:215" s="27" customFormat="1" ht="18.75" customHeight="1">
      <c r="B7" s="47" t="s">
        <v>34</v>
      </c>
      <c r="C7" s="48" t="str">
        <f>"Projeto " &amp;B2</f>
        <v>Projeto CMA</v>
      </c>
      <c r="D7" s="49">
        <f>(I7-G7)+1</f>
        <v>42</v>
      </c>
      <c r="E7" s="49">
        <f>(J7-H7)+1</f>
        <v>42</v>
      </c>
      <c r="F7" s="50" t="e">
        <f>(SUMPRODUCT(E9:E17,F9:F17,E19:E21,F19:F21,E23:E28,F23:F28,E30:E37,F30:F37,E39:E46,F39:F46,E48:E49,F48:F49))/SUM(E9:E17,E19:E21,E23:E28,E30:E37,E39:E46,E48:E49)</f>
        <v>#VALUE!</v>
      </c>
      <c r="G7" s="51">
        <f>SMALL($G$8:$G$49,1)</f>
        <v>43742</v>
      </c>
      <c r="H7" s="51">
        <f>SMALL($H$8:$H$49,1)</f>
        <v>43742</v>
      </c>
      <c r="I7" s="51">
        <f>LARGE($I$8:$I$49,1)</f>
        <v>43783</v>
      </c>
      <c r="J7" s="51">
        <f>LARGE($J$8:$J$49,1)</f>
        <v>43783</v>
      </c>
      <c r="K7" s="51"/>
      <c r="L7" s="51"/>
      <c r="M7" s="51"/>
      <c r="N7" s="52"/>
      <c r="O7" s="53"/>
      <c r="P7" s="54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2:215" s="27" customFormat="1" ht="18.95" customHeight="1">
      <c r="B8" s="55" t="s">
        <v>29</v>
      </c>
      <c r="C8" s="74" t="s">
        <v>36</v>
      </c>
      <c r="D8" s="56">
        <f>(I8-G8)+1</f>
        <v>2</v>
      </c>
      <c r="E8" s="56">
        <f>(J8-H8)+1</f>
        <v>2</v>
      </c>
      <c r="F8" s="57">
        <f>AVERAGE($F$9:$F$17)</f>
        <v>0</v>
      </c>
      <c r="G8" s="58">
        <v>43746</v>
      </c>
      <c r="H8" s="58">
        <v>43746</v>
      </c>
      <c r="I8" s="58">
        <f>LARGE($I$9:$I$17,1)</f>
        <v>43747</v>
      </c>
      <c r="J8" s="58">
        <f>LARGE($J$9:$J$17,1)</f>
        <v>43747</v>
      </c>
      <c r="K8" s="58"/>
      <c r="L8" s="58"/>
      <c r="M8" s="58"/>
      <c r="N8" s="59"/>
      <c r="O8" s="29"/>
      <c r="P8" s="54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ht="18.75" customHeight="1" outlineLevel="1">
      <c r="B9" s="60" t="s">
        <v>3</v>
      </c>
      <c r="C9" s="75" t="s">
        <v>42</v>
      </c>
      <c r="D9" s="60">
        <v>0.5</v>
      </c>
      <c r="E9" s="60">
        <v>0.5</v>
      </c>
      <c r="F9" s="61">
        <v>0</v>
      </c>
      <c r="G9" s="62">
        <v>43746</v>
      </c>
      <c r="H9" s="62">
        <v>43746</v>
      </c>
      <c r="I9" s="62">
        <f>(G9+ROUNDUP(D9,0)-1)</f>
        <v>43746</v>
      </c>
      <c r="J9" s="62">
        <f>(H9+ROUNDUP(E9,0))-1</f>
        <v>43746</v>
      </c>
      <c r="K9" s="62" t="str">
        <f ca="1">IF(F9=1,"Concluído",IF(AND(J9&lt;TODAY(),F9&lt;1),"Em atraso","Em andamento"))</f>
        <v>Em atraso</v>
      </c>
      <c r="L9" s="62" t="s">
        <v>26</v>
      </c>
      <c r="M9" s="62" t="s">
        <v>38</v>
      </c>
      <c r="N9" s="63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</row>
    <row r="10" spans="2:215" ht="18.75" customHeight="1" outlineLevel="1">
      <c r="B10" s="60" t="s">
        <v>6</v>
      </c>
      <c r="C10" s="75" t="s">
        <v>116</v>
      </c>
      <c r="D10" s="60"/>
      <c r="E10" s="60"/>
      <c r="F10" s="61"/>
      <c r="G10" s="62"/>
      <c r="H10" s="62"/>
      <c r="I10" s="62"/>
      <c r="J10" s="62"/>
      <c r="K10" s="62"/>
      <c r="L10" s="62"/>
      <c r="M10" s="62"/>
      <c r="N10" s="63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75" customHeight="1" outlineLevel="1">
      <c r="B11" s="60" t="s">
        <v>9</v>
      </c>
      <c r="C11" s="75" t="s">
        <v>117</v>
      </c>
      <c r="D11" s="60"/>
      <c r="E11" s="60"/>
      <c r="F11" s="61"/>
      <c r="G11" s="62"/>
      <c r="H11" s="62"/>
      <c r="I11" s="62"/>
      <c r="J11" s="62"/>
      <c r="K11" s="62"/>
      <c r="L11" s="62"/>
      <c r="M11" s="62"/>
      <c r="N11" s="63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75" customHeight="1" outlineLevel="1">
      <c r="B12" s="60"/>
      <c r="C12" s="100" t="s">
        <v>130</v>
      </c>
      <c r="D12" s="60"/>
      <c r="E12" s="60"/>
      <c r="F12" s="61"/>
      <c r="G12" s="62"/>
      <c r="H12" s="62"/>
      <c r="I12" s="62"/>
      <c r="J12" s="62"/>
      <c r="K12" s="62"/>
      <c r="L12" s="62"/>
      <c r="M12" s="62"/>
      <c r="N12" s="63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ht="18.75" customHeight="1" outlineLevel="1">
      <c r="B13" s="60"/>
      <c r="C13" s="102" t="s">
        <v>120</v>
      </c>
      <c r="D13" s="60"/>
      <c r="E13" s="60"/>
      <c r="F13" s="61"/>
      <c r="G13" s="62"/>
      <c r="H13" s="62"/>
      <c r="I13" s="62"/>
      <c r="J13" s="62"/>
      <c r="K13" s="62"/>
      <c r="L13" s="62"/>
      <c r="M13" s="62"/>
      <c r="N13" s="63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</row>
    <row r="14" spans="2:215" ht="18.95" customHeight="1" outlineLevel="1">
      <c r="B14" s="60" t="s">
        <v>118</v>
      </c>
      <c r="C14" s="75" t="s">
        <v>40</v>
      </c>
      <c r="D14" s="60">
        <v>0.5</v>
      </c>
      <c r="E14" s="60">
        <v>0.5</v>
      </c>
      <c r="F14" s="61">
        <v>0</v>
      </c>
      <c r="G14" s="62">
        <v>43746</v>
      </c>
      <c r="H14" s="62">
        <v>43746</v>
      </c>
      <c r="I14" s="62">
        <f t="shared" ref="I14:I17" si="141">(G14+ROUNDUP(D14,0)-1)</f>
        <v>43746</v>
      </c>
      <c r="J14" s="62">
        <f t="shared" ref="J14:J49" si="142">(H14+ROUNDUP(E14,0))-1</f>
        <v>43746</v>
      </c>
      <c r="K14" s="62" t="str">
        <f t="shared" ref="K14:K49" ca="1" si="143">IF(F14=1,"Concluído",IF(AND(J14&lt;TODAY(),F14&lt;1),"Em atraso","Em andamento"))</f>
        <v>Em atraso</v>
      </c>
      <c r="L14" s="62" t="s">
        <v>26</v>
      </c>
      <c r="M14" s="62" t="s">
        <v>38</v>
      </c>
      <c r="N14" s="63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</row>
    <row r="15" spans="2:215" ht="18.95" customHeight="1" outlineLevel="1">
      <c r="B15" s="60" t="s">
        <v>119</v>
      </c>
      <c r="C15" s="75" t="s">
        <v>39</v>
      </c>
      <c r="D15" s="60">
        <v>0.5</v>
      </c>
      <c r="E15" s="60">
        <v>0.5</v>
      </c>
      <c r="F15" s="61">
        <v>0</v>
      </c>
      <c r="G15" s="62">
        <v>43747</v>
      </c>
      <c r="H15" s="62">
        <v>43747</v>
      </c>
      <c r="I15" s="62">
        <f t="shared" si="141"/>
        <v>43747</v>
      </c>
      <c r="J15" s="62">
        <f t="shared" si="142"/>
        <v>43747</v>
      </c>
      <c r="K15" s="62" t="str">
        <f t="shared" ca="1" si="143"/>
        <v>Em atraso</v>
      </c>
      <c r="L15" s="62" t="s">
        <v>25</v>
      </c>
      <c r="M15" s="62" t="s">
        <v>38</v>
      </c>
      <c r="N15" s="63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ht="18.95" customHeight="1" outlineLevel="1">
      <c r="B16" s="60" t="s">
        <v>122</v>
      </c>
      <c r="C16" s="77" t="s">
        <v>121</v>
      </c>
      <c r="D16" s="60"/>
      <c r="E16" s="60"/>
      <c r="F16" s="61"/>
      <c r="G16" s="62"/>
      <c r="H16" s="62"/>
      <c r="I16" s="62"/>
      <c r="J16" s="62"/>
      <c r="K16" s="62"/>
      <c r="L16" s="62"/>
      <c r="M16" s="62"/>
      <c r="N16" s="63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</row>
    <row r="17" spans="2:215" ht="18.95" customHeight="1" outlineLevel="1">
      <c r="B17" s="60" t="s">
        <v>123</v>
      </c>
      <c r="C17" s="75" t="s">
        <v>41</v>
      </c>
      <c r="D17" s="60">
        <v>0.5</v>
      </c>
      <c r="E17" s="60">
        <v>0.5</v>
      </c>
      <c r="F17" s="61">
        <v>0</v>
      </c>
      <c r="G17" s="62">
        <v>43747</v>
      </c>
      <c r="H17" s="62">
        <v>43747</v>
      </c>
      <c r="I17" s="62">
        <f t="shared" si="141"/>
        <v>43747</v>
      </c>
      <c r="J17" s="62">
        <f t="shared" si="142"/>
        <v>43747</v>
      </c>
      <c r="K17" s="62" t="str">
        <f t="shared" ca="1" si="143"/>
        <v>Em atraso</v>
      </c>
      <c r="L17" s="62" t="s">
        <v>26</v>
      </c>
      <c r="M17" s="62" t="s">
        <v>38</v>
      </c>
      <c r="N17" s="63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</row>
    <row r="18" spans="2:215" s="27" customFormat="1" ht="18.95" customHeight="1">
      <c r="B18" s="55" t="s">
        <v>30</v>
      </c>
      <c r="C18" s="74" t="s">
        <v>59</v>
      </c>
      <c r="D18" s="56">
        <f>(I18-G18)+1</f>
        <v>17</v>
      </c>
      <c r="E18" s="56">
        <f>(J18-H18)+1</f>
        <v>23</v>
      </c>
      <c r="F18" s="57">
        <f>(SUMPRODUCT(E19:E21,F19:F21))/SUM(E19:E21)</f>
        <v>0</v>
      </c>
      <c r="G18" s="58">
        <f>SMALL($G$23:$G$28,1)</f>
        <v>43742</v>
      </c>
      <c r="H18" s="58">
        <f>SMALL($H$23:$H$28,1)</f>
        <v>43742</v>
      </c>
      <c r="I18" s="58">
        <f>LARGE($I$23:$I$28,1)</f>
        <v>43758</v>
      </c>
      <c r="J18" s="58">
        <f>LARGE($J$23:$J$28,1)</f>
        <v>43764</v>
      </c>
      <c r="K18" s="64"/>
      <c r="L18" s="58"/>
      <c r="M18" s="58"/>
      <c r="N18" s="5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</row>
    <row r="19" spans="2:215" ht="18.95" customHeight="1" outlineLevel="1">
      <c r="B19" s="60" t="s">
        <v>8</v>
      </c>
      <c r="C19" s="75" t="s">
        <v>60</v>
      </c>
      <c r="D19" s="60">
        <v>0.5</v>
      </c>
      <c r="E19" s="60">
        <v>0.5</v>
      </c>
      <c r="F19" s="61">
        <v>0</v>
      </c>
      <c r="G19" s="62">
        <v>43747</v>
      </c>
      <c r="H19" s="62">
        <v>43747</v>
      </c>
      <c r="I19" s="62">
        <f t="shared" ref="I19:I49" si="144">(G19+ROUNDUP(D19,0)-1)</f>
        <v>43747</v>
      </c>
      <c r="J19" s="62">
        <f t="shared" si="142"/>
        <v>43747</v>
      </c>
      <c r="K19" s="62" t="str">
        <f t="shared" ca="1" si="143"/>
        <v>Em atraso</v>
      </c>
      <c r="L19" s="62" t="s">
        <v>26</v>
      </c>
      <c r="M19" s="62" t="s">
        <v>35</v>
      </c>
      <c r="N19" s="63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ht="18.95" customHeight="1" outlineLevel="1">
      <c r="B20" s="60" t="s">
        <v>4</v>
      </c>
      <c r="C20" s="75" t="s">
        <v>61</v>
      </c>
      <c r="D20" s="60">
        <v>0.4</v>
      </c>
      <c r="E20" s="60">
        <v>0.4</v>
      </c>
      <c r="F20" s="61">
        <v>0</v>
      </c>
      <c r="G20" s="62">
        <v>43747</v>
      </c>
      <c r="H20" s="62">
        <v>43747</v>
      </c>
      <c r="I20" s="62">
        <f t="shared" si="144"/>
        <v>43747</v>
      </c>
      <c r="J20" s="62">
        <f t="shared" si="142"/>
        <v>43747</v>
      </c>
      <c r="K20" s="62" t="str">
        <f t="shared" ca="1" si="143"/>
        <v>Em atraso</v>
      </c>
      <c r="L20" s="62" t="s">
        <v>25</v>
      </c>
      <c r="M20" s="62" t="s">
        <v>69</v>
      </c>
      <c r="N20" s="63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</row>
    <row r="21" spans="2:215" ht="18.95" customHeight="1" outlineLevel="1">
      <c r="B21" s="60" t="s">
        <v>11</v>
      </c>
      <c r="C21" s="75" t="s">
        <v>107</v>
      </c>
      <c r="D21" s="60">
        <v>0.1</v>
      </c>
      <c r="E21" s="60">
        <v>0.1</v>
      </c>
      <c r="F21" s="61">
        <v>0</v>
      </c>
      <c r="G21" s="62">
        <v>43747</v>
      </c>
      <c r="H21" s="62">
        <v>43747</v>
      </c>
      <c r="I21" s="62">
        <f t="shared" si="144"/>
        <v>43747</v>
      </c>
      <c r="J21" s="62">
        <f t="shared" si="142"/>
        <v>43747</v>
      </c>
      <c r="K21" s="62" t="str">
        <f t="shared" ca="1" si="143"/>
        <v>Em atraso</v>
      </c>
      <c r="L21" s="62" t="s">
        <v>26</v>
      </c>
      <c r="M21" s="62" t="s">
        <v>70</v>
      </c>
      <c r="N21" s="63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s="27" customFormat="1" ht="18.95" customHeight="1">
      <c r="B22" s="55" t="s">
        <v>31</v>
      </c>
      <c r="C22" s="74" t="s">
        <v>43</v>
      </c>
      <c r="D22" s="56">
        <f>(I22-G22)+1</f>
        <v>17</v>
      </c>
      <c r="E22" s="56">
        <f>(J22-H22)+1</f>
        <v>23</v>
      </c>
      <c r="F22" s="57">
        <f>(SUMPRODUCT(E23:E28,F23:F28))/SUM(E23:E28)</f>
        <v>4.3478260869565216E-2</v>
      </c>
      <c r="G22" s="58">
        <f>SMALL($G$23:$G$28,1)</f>
        <v>43742</v>
      </c>
      <c r="H22" s="58">
        <f>SMALL($H$23:$H$28,1)</f>
        <v>43742</v>
      </c>
      <c r="I22" s="58">
        <f>LARGE($I$23:$I$28,1)</f>
        <v>43758</v>
      </c>
      <c r="J22" s="58">
        <f>LARGE($J$23:$J$28,1)</f>
        <v>43764</v>
      </c>
      <c r="K22" s="64"/>
      <c r="L22" s="58"/>
      <c r="M22" s="58"/>
      <c r="N22" s="5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</row>
    <row r="23" spans="2:215" ht="18.95" customHeight="1" outlineLevel="1">
      <c r="B23" s="60" t="s">
        <v>12</v>
      </c>
      <c r="C23" s="75" t="s">
        <v>85</v>
      </c>
      <c r="D23" s="60">
        <v>0.5</v>
      </c>
      <c r="E23" s="60">
        <v>0.5</v>
      </c>
      <c r="F23" s="61">
        <v>1</v>
      </c>
      <c r="G23" s="62">
        <v>43742</v>
      </c>
      <c r="H23" s="62">
        <v>43742</v>
      </c>
      <c r="I23" s="62">
        <f t="shared" si="144"/>
        <v>43742</v>
      </c>
      <c r="J23" s="62">
        <f t="shared" si="142"/>
        <v>43742</v>
      </c>
      <c r="K23" s="62" t="str">
        <f ca="1">IF(F23=1,"Concluído",IF(AND(J23&lt;TODAY(),F23&lt;1),"Em atraso","Em andamento"))</f>
        <v>Concluído</v>
      </c>
      <c r="L23" s="62" t="s">
        <v>26</v>
      </c>
      <c r="M23" s="62" t="s">
        <v>69</v>
      </c>
      <c r="N23" s="63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ht="18.95" customHeight="1" outlineLevel="1">
      <c r="B24" s="60" t="s">
        <v>13</v>
      </c>
      <c r="C24" s="75" t="s">
        <v>86</v>
      </c>
      <c r="D24" s="60">
        <v>4</v>
      </c>
      <c r="E24" s="60">
        <v>4</v>
      </c>
      <c r="F24" s="61">
        <v>0</v>
      </c>
      <c r="G24" s="62">
        <v>43748</v>
      </c>
      <c r="H24" s="62">
        <v>43752</v>
      </c>
      <c r="I24" s="62">
        <f t="shared" si="144"/>
        <v>43751</v>
      </c>
      <c r="J24" s="62">
        <f t="shared" si="142"/>
        <v>43755</v>
      </c>
      <c r="K24" s="62" t="str">
        <f t="shared" ca="1" si="143"/>
        <v>Em andamento</v>
      </c>
      <c r="L24" s="62" t="s">
        <v>26</v>
      </c>
      <c r="M24" s="62" t="s">
        <v>69</v>
      </c>
      <c r="N24" s="63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</row>
    <row r="25" spans="2:215" ht="18.95" customHeight="1" outlineLevel="1">
      <c r="B25" s="60" t="s">
        <v>14</v>
      </c>
      <c r="C25" s="75" t="s">
        <v>87</v>
      </c>
      <c r="D25" s="60">
        <v>1</v>
      </c>
      <c r="E25" s="60">
        <v>1</v>
      </c>
      <c r="F25" s="61">
        <v>0</v>
      </c>
      <c r="G25" s="62">
        <v>43753</v>
      </c>
      <c r="H25" s="62">
        <v>43753</v>
      </c>
      <c r="I25" s="62">
        <f t="shared" si="144"/>
        <v>43753</v>
      </c>
      <c r="J25" s="62">
        <f t="shared" si="142"/>
        <v>43753</v>
      </c>
      <c r="K25" s="62" t="str">
        <f t="shared" ca="1" si="143"/>
        <v>Em andamento</v>
      </c>
      <c r="L25" s="62" t="s">
        <v>26</v>
      </c>
      <c r="M25" s="62" t="s">
        <v>69</v>
      </c>
      <c r="N25" s="63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</row>
    <row r="26" spans="2:215" ht="18.95" customHeight="1" outlineLevel="1">
      <c r="B26" s="60" t="s">
        <v>15</v>
      </c>
      <c r="C26" s="75" t="s">
        <v>88</v>
      </c>
      <c r="D26" s="60">
        <v>0.5</v>
      </c>
      <c r="E26" s="60">
        <v>0.5</v>
      </c>
      <c r="F26" s="61">
        <v>0</v>
      </c>
      <c r="G26" s="62">
        <v>43754</v>
      </c>
      <c r="H26" s="62">
        <v>43754</v>
      </c>
      <c r="I26" s="62">
        <f t="shared" si="144"/>
        <v>43754</v>
      </c>
      <c r="J26" s="62">
        <f t="shared" si="142"/>
        <v>43754</v>
      </c>
      <c r="K26" s="62" t="str">
        <f t="shared" ca="1" si="143"/>
        <v>Em andamento</v>
      </c>
      <c r="L26" s="62" t="s">
        <v>26</v>
      </c>
      <c r="M26" s="62" t="s">
        <v>35</v>
      </c>
      <c r="N26" s="63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ht="18.95" customHeight="1" outlineLevel="1">
      <c r="B27" s="60" t="s">
        <v>62</v>
      </c>
      <c r="C27" s="75" t="s">
        <v>89</v>
      </c>
      <c r="D27" s="60">
        <v>0.5</v>
      </c>
      <c r="E27" s="60">
        <v>0.5</v>
      </c>
      <c r="F27" s="61">
        <v>0</v>
      </c>
      <c r="G27" s="62">
        <v>43754</v>
      </c>
      <c r="H27" s="62">
        <v>43754</v>
      </c>
      <c r="I27" s="62">
        <f t="shared" ref="I27" si="145">(G27+ROUNDUP(D27,0)-1)</f>
        <v>43754</v>
      </c>
      <c r="J27" s="62">
        <f t="shared" ref="J27" si="146">(H27+ROUNDUP(E27,0))-1</f>
        <v>43754</v>
      </c>
      <c r="K27" s="62" t="str">
        <f t="shared" ref="K27" ca="1" si="147">IF(F27=1,"Concluído",IF(AND(J27&lt;TODAY(),F27&lt;1),"Em atraso","Em andamento"))</f>
        <v>Em andamento</v>
      </c>
      <c r="L27" s="62" t="s">
        <v>26</v>
      </c>
      <c r="M27" s="62" t="s">
        <v>69</v>
      </c>
      <c r="N27" s="6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</row>
    <row r="28" spans="2:215" ht="18.95" customHeight="1" outlineLevel="1">
      <c r="B28" s="60" t="s">
        <v>63</v>
      </c>
      <c r="C28" s="75" t="s">
        <v>90</v>
      </c>
      <c r="D28" s="60">
        <v>5</v>
      </c>
      <c r="E28" s="60">
        <v>5</v>
      </c>
      <c r="F28" s="61">
        <v>0</v>
      </c>
      <c r="G28" s="62">
        <v>43754</v>
      </c>
      <c r="H28" s="62">
        <v>43760</v>
      </c>
      <c r="I28" s="62">
        <f t="shared" si="144"/>
        <v>43758</v>
      </c>
      <c r="J28" s="62">
        <f t="shared" si="142"/>
        <v>43764</v>
      </c>
      <c r="K28" s="62" t="str">
        <f t="shared" ca="1" si="143"/>
        <v>Em andamento</v>
      </c>
      <c r="L28" s="62" t="s">
        <v>25</v>
      </c>
      <c r="M28" s="62" t="s">
        <v>69</v>
      </c>
      <c r="N28" s="63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s="27" customFormat="1" ht="18.95" customHeight="1">
      <c r="B29" s="55" t="s">
        <v>32</v>
      </c>
      <c r="C29" s="74" t="s">
        <v>74</v>
      </c>
      <c r="D29" s="56">
        <f>(I29-G29)+1</f>
        <v>15</v>
      </c>
      <c r="E29" s="56">
        <f>(J29-H29)+1</f>
        <v>15</v>
      </c>
      <c r="F29" s="57">
        <f>(SUMPRODUCT(E30:E37,F30:F37))/SUM(E30:E37)</f>
        <v>0</v>
      </c>
      <c r="G29" s="58">
        <f>SMALL($G$30:$G$37,1)</f>
        <v>43754</v>
      </c>
      <c r="H29" s="58">
        <f>SMALL($H$30:$H$37,1)</f>
        <v>43754</v>
      </c>
      <c r="I29" s="58">
        <f>LARGE($I$30:$I$37,1)</f>
        <v>43768</v>
      </c>
      <c r="J29" s="58">
        <f>LARGE($J$30:$J$37,1)</f>
        <v>43768</v>
      </c>
      <c r="K29" s="64"/>
      <c r="L29" s="58"/>
      <c r="M29" s="58"/>
      <c r="N29" s="5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2:215" ht="18.95" customHeight="1" outlineLevel="1">
      <c r="B30" s="60" t="s">
        <v>16</v>
      </c>
      <c r="C30" s="75" t="s">
        <v>91</v>
      </c>
      <c r="D30" s="60">
        <v>0.5</v>
      </c>
      <c r="E30" s="60">
        <v>0.5</v>
      </c>
      <c r="F30" s="61">
        <v>0</v>
      </c>
      <c r="G30" s="62">
        <v>43754</v>
      </c>
      <c r="H30" s="62">
        <v>43754</v>
      </c>
      <c r="I30" s="62">
        <f t="shared" si="144"/>
        <v>43754</v>
      </c>
      <c r="J30" s="62">
        <f t="shared" si="142"/>
        <v>43754</v>
      </c>
      <c r="K30" s="62" t="str">
        <f t="shared" ca="1" si="143"/>
        <v>Em andamento</v>
      </c>
      <c r="L30" s="62" t="s">
        <v>26</v>
      </c>
      <c r="M30" s="62" t="s">
        <v>69</v>
      </c>
      <c r="N30" s="63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ht="18.95" customHeight="1" outlineLevel="1">
      <c r="B31" s="60" t="s">
        <v>18</v>
      </c>
      <c r="C31" s="75" t="s">
        <v>92</v>
      </c>
      <c r="D31" s="60">
        <v>0.5</v>
      </c>
      <c r="E31" s="60">
        <v>0.5</v>
      </c>
      <c r="F31" s="61">
        <v>0</v>
      </c>
      <c r="G31" s="62">
        <v>43754</v>
      </c>
      <c r="H31" s="62">
        <v>43754</v>
      </c>
      <c r="I31" s="62">
        <f t="shared" si="144"/>
        <v>43754</v>
      </c>
      <c r="J31" s="62">
        <f t="shared" si="142"/>
        <v>43754</v>
      </c>
      <c r="K31" s="62" t="str">
        <f t="shared" ca="1" si="143"/>
        <v>Em andamento</v>
      </c>
      <c r="L31" s="62" t="s">
        <v>26</v>
      </c>
      <c r="M31" s="62" t="s">
        <v>69</v>
      </c>
      <c r="N31" s="63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</row>
    <row r="32" spans="2:215" ht="18.95" customHeight="1" outlineLevel="1">
      <c r="B32" s="60" t="s">
        <v>19</v>
      </c>
      <c r="C32" s="75" t="s">
        <v>93</v>
      </c>
      <c r="D32" s="60">
        <v>2</v>
      </c>
      <c r="E32" s="60">
        <v>2</v>
      </c>
      <c r="F32" s="61">
        <v>0</v>
      </c>
      <c r="G32" s="62">
        <v>43754</v>
      </c>
      <c r="H32" s="62">
        <v>43754</v>
      </c>
      <c r="I32" s="62">
        <f t="shared" ref="I32:I36" si="148">(G32+ROUNDUP(D32,0)-1)</f>
        <v>43755</v>
      </c>
      <c r="J32" s="62">
        <f t="shared" ref="J32:J36" si="149">(H32+ROUNDUP(E32,0))-1</f>
        <v>43755</v>
      </c>
      <c r="K32" s="62" t="str">
        <f t="shared" ref="K32:K36" ca="1" si="150">IF(F32=1,"Concluído",IF(AND(J32&lt;TODAY(),F32&lt;1),"Em atraso","Em andamento"))</f>
        <v>Em andamento</v>
      </c>
      <c r="L32" s="62" t="s">
        <v>26</v>
      </c>
      <c r="M32" s="62" t="s">
        <v>69</v>
      </c>
      <c r="N32" s="63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ht="18.95" customHeight="1" outlineLevel="1">
      <c r="B33" s="60" t="s">
        <v>5</v>
      </c>
      <c r="C33" s="75" t="s">
        <v>94</v>
      </c>
      <c r="D33" s="60">
        <v>0.5</v>
      </c>
      <c r="E33" s="60">
        <v>0.5</v>
      </c>
      <c r="F33" s="61">
        <v>0</v>
      </c>
      <c r="G33" s="62">
        <v>43756</v>
      </c>
      <c r="H33" s="62">
        <v>43756</v>
      </c>
      <c r="I33" s="62">
        <f t="shared" si="148"/>
        <v>43756</v>
      </c>
      <c r="J33" s="62">
        <f t="shared" si="149"/>
        <v>43756</v>
      </c>
      <c r="K33" s="62" t="str">
        <f t="shared" ca="1" si="150"/>
        <v>Em andamento</v>
      </c>
      <c r="L33" s="62" t="s">
        <v>25</v>
      </c>
      <c r="M33" s="62" t="s">
        <v>70</v>
      </c>
      <c r="N33" s="63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</row>
    <row r="34" spans="2:215" ht="18.95" customHeight="1" outlineLevel="1">
      <c r="B34" s="60" t="s">
        <v>17</v>
      </c>
      <c r="C34" s="75" t="s">
        <v>95</v>
      </c>
      <c r="D34" s="60">
        <v>7</v>
      </c>
      <c r="E34" s="60">
        <v>7</v>
      </c>
      <c r="F34" s="61">
        <v>0</v>
      </c>
      <c r="G34" s="62">
        <v>43756</v>
      </c>
      <c r="H34" s="62">
        <v>43756</v>
      </c>
      <c r="I34" s="62">
        <f t="shared" si="148"/>
        <v>43762</v>
      </c>
      <c r="J34" s="62">
        <f t="shared" si="149"/>
        <v>43762</v>
      </c>
      <c r="K34" s="62" t="str">
        <f t="shared" ca="1" si="150"/>
        <v>Em andamento</v>
      </c>
      <c r="L34" s="62" t="s">
        <v>26</v>
      </c>
      <c r="M34" s="62" t="s">
        <v>69</v>
      </c>
      <c r="N34" s="63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</row>
    <row r="35" spans="2:215" ht="18.95" customHeight="1" outlineLevel="1">
      <c r="B35" s="60" t="s">
        <v>76</v>
      </c>
      <c r="C35" s="75" t="s">
        <v>96</v>
      </c>
      <c r="D35" s="60">
        <v>2</v>
      </c>
      <c r="E35" s="60">
        <v>2</v>
      </c>
      <c r="F35" s="61">
        <v>0</v>
      </c>
      <c r="G35" s="62">
        <v>43762</v>
      </c>
      <c r="H35" s="62">
        <v>43762</v>
      </c>
      <c r="I35" s="62">
        <f t="shared" si="148"/>
        <v>43763</v>
      </c>
      <c r="J35" s="62">
        <f t="shared" si="149"/>
        <v>43763</v>
      </c>
      <c r="K35" s="62" t="str">
        <f t="shared" ca="1" si="150"/>
        <v>Em andamento</v>
      </c>
      <c r="L35" s="62" t="s">
        <v>26</v>
      </c>
      <c r="M35" s="62" t="s">
        <v>84</v>
      </c>
      <c r="N35" s="63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</row>
    <row r="36" spans="2:215" ht="18.95" customHeight="1" outlineLevel="1">
      <c r="B36" s="60" t="s">
        <v>77</v>
      </c>
      <c r="C36" s="75" t="s">
        <v>97</v>
      </c>
      <c r="D36" s="60">
        <v>2</v>
      </c>
      <c r="E36" s="60">
        <v>2</v>
      </c>
      <c r="F36" s="61">
        <v>0</v>
      </c>
      <c r="G36" s="62">
        <v>43766</v>
      </c>
      <c r="H36" s="62">
        <v>43766</v>
      </c>
      <c r="I36" s="62">
        <f t="shared" si="148"/>
        <v>43767</v>
      </c>
      <c r="J36" s="62">
        <f t="shared" si="149"/>
        <v>43767</v>
      </c>
      <c r="K36" s="62" t="str">
        <f t="shared" ca="1" si="150"/>
        <v>Em andamento</v>
      </c>
      <c r="L36" s="62" t="s">
        <v>26</v>
      </c>
      <c r="M36" s="62" t="s">
        <v>35</v>
      </c>
      <c r="N36" s="63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</row>
    <row r="37" spans="2:215" ht="18.95" customHeight="1" outlineLevel="1">
      <c r="B37" s="60" t="s">
        <v>78</v>
      </c>
      <c r="C37" s="75" t="s">
        <v>98</v>
      </c>
      <c r="D37" s="60">
        <v>2</v>
      </c>
      <c r="E37" s="60">
        <v>2</v>
      </c>
      <c r="F37" s="61">
        <v>0</v>
      </c>
      <c r="G37" s="62">
        <v>43767</v>
      </c>
      <c r="H37" s="62">
        <v>43767</v>
      </c>
      <c r="I37" s="62">
        <f t="shared" si="144"/>
        <v>43768</v>
      </c>
      <c r="J37" s="62">
        <f t="shared" si="142"/>
        <v>43768</v>
      </c>
      <c r="K37" s="62" t="str">
        <f t="shared" ca="1" si="143"/>
        <v>Em andamento</v>
      </c>
      <c r="L37" s="62" t="s">
        <v>25</v>
      </c>
      <c r="M37" s="62" t="s">
        <v>70</v>
      </c>
      <c r="N37" s="6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s="27" customFormat="1" ht="18.95" customHeight="1">
      <c r="B38" s="55" t="s">
        <v>33</v>
      </c>
      <c r="C38" s="74" t="s">
        <v>75</v>
      </c>
      <c r="D38" s="56">
        <f>(I38-G38)+1</f>
        <v>15</v>
      </c>
      <c r="E38" s="56">
        <f>(J38-H38)+1</f>
        <v>15</v>
      </c>
      <c r="F38" s="57">
        <f>(SUMPRODUCT(E39:E46,F39:F46))/SUM(E39:E46)</f>
        <v>0</v>
      </c>
      <c r="G38" s="58">
        <f>SMALL($G$39:$G$46,1)</f>
        <v>43768</v>
      </c>
      <c r="H38" s="58">
        <f>SMALL($H$39:$H$46,1)</f>
        <v>43768</v>
      </c>
      <c r="I38" s="58">
        <f>LARGE($I$39:$I$46,1)</f>
        <v>43782</v>
      </c>
      <c r="J38" s="58">
        <f>LARGE($J$39:$J$46,1)</f>
        <v>43782</v>
      </c>
      <c r="K38" s="64"/>
      <c r="L38" s="58"/>
      <c r="M38" s="58"/>
      <c r="N38" s="5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</row>
    <row r="39" spans="2:215" ht="18.95" customHeight="1" outlineLevel="1">
      <c r="B39" s="60" t="s">
        <v>21</v>
      </c>
      <c r="C39" s="75" t="s">
        <v>99</v>
      </c>
      <c r="D39" s="60">
        <v>0.5</v>
      </c>
      <c r="E39" s="60">
        <v>0.5</v>
      </c>
      <c r="F39" s="61">
        <v>0</v>
      </c>
      <c r="G39" s="62">
        <v>43768</v>
      </c>
      <c r="H39" s="62">
        <v>43768</v>
      </c>
      <c r="I39" s="62">
        <f t="shared" si="144"/>
        <v>43768</v>
      </c>
      <c r="J39" s="62">
        <f t="shared" si="142"/>
        <v>43768</v>
      </c>
      <c r="K39" s="62" t="str">
        <f t="shared" ca="1" si="143"/>
        <v>Em andamento</v>
      </c>
      <c r="L39" s="62" t="s">
        <v>26</v>
      </c>
      <c r="M39" s="62" t="s">
        <v>69</v>
      </c>
      <c r="N39" s="63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60" t="s">
        <v>22</v>
      </c>
      <c r="C40" s="75" t="s">
        <v>100</v>
      </c>
      <c r="D40" s="60">
        <v>0.5</v>
      </c>
      <c r="E40" s="60">
        <v>0.5</v>
      </c>
      <c r="F40" s="61">
        <v>0</v>
      </c>
      <c r="G40" s="62">
        <v>43768</v>
      </c>
      <c r="H40" s="62">
        <v>43768</v>
      </c>
      <c r="I40" s="62">
        <f t="shared" si="144"/>
        <v>43768</v>
      </c>
      <c r="J40" s="62">
        <f t="shared" si="142"/>
        <v>43768</v>
      </c>
      <c r="K40" s="62" t="str">
        <f t="shared" ca="1" si="143"/>
        <v>Em andamento</v>
      </c>
      <c r="L40" s="62" t="s">
        <v>26</v>
      </c>
      <c r="M40" s="62" t="s">
        <v>69</v>
      </c>
      <c r="N40" s="63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60" t="s">
        <v>10</v>
      </c>
      <c r="C41" s="75" t="s">
        <v>101</v>
      </c>
      <c r="D41" s="60">
        <v>2</v>
      </c>
      <c r="E41" s="60">
        <v>2</v>
      </c>
      <c r="F41" s="61">
        <v>0</v>
      </c>
      <c r="G41" s="62">
        <v>43768</v>
      </c>
      <c r="H41" s="62">
        <v>43768</v>
      </c>
      <c r="I41" s="62">
        <f t="shared" si="144"/>
        <v>43769</v>
      </c>
      <c r="J41" s="62">
        <f t="shared" si="142"/>
        <v>43769</v>
      </c>
      <c r="K41" s="62" t="str">
        <f t="shared" ca="1" si="143"/>
        <v>Em andamento</v>
      </c>
      <c r="L41" s="62" t="s">
        <v>26</v>
      </c>
      <c r="M41" s="62" t="s">
        <v>69</v>
      </c>
      <c r="N41" s="63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ht="18.95" customHeight="1" outlineLevel="1">
      <c r="B42" s="60" t="s">
        <v>64</v>
      </c>
      <c r="C42" s="75" t="s">
        <v>102</v>
      </c>
      <c r="D42" s="60">
        <v>0.5</v>
      </c>
      <c r="E42" s="60">
        <v>0.5</v>
      </c>
      <c r="F42" s="61">
        <v>0</v>
      </c>
      <c r="G42" s="62">
        <v>43770</v>
      </c>
      <c r="H42" s="62">
        <v>43770</v>
      </c>
      <c r="I42" s="62">
        <f t="shared" ref="I42:I44" si="151">(G42+ROUNDUP(D42,0)-1)</f>
        <v>43770</v>
      </c>
      <c r="J42" s="62">
        <f t="shared" ref="J42:J44" si="152">(H42+ROUNDUP(E42,0))-1</f>
        <v>43770</v>
      </c>
      <c r="K42" s="62" t="str">
        <f t="shared" ref="K42:K44" ca="1" si="153">IF(F42=1,"Concluído",IF(AND(J42&lt;TODAY(),F42&lt;1),"Em atraso","Em andamento"))</f>
        <v>Em andamento</v>
      </c>
      <c r="L42" s="62" t="s">
        <v>25</v>
      </c>
      <c r="M42" s="62" t="s">
        <v>70</v>
      </c>
      <c r="N42" s="63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</row>
    <row r="43" spans="2:215" ht="18.95" customHeight="1" outlineLevel="1">
      <c r="B43" s="60" t="s">
        <v>65</v>
      </c>
      <c r="C43" s="75" t="s">
        <v>103</v>
      </c>
      <c r="D43" s="60">
        <v>7</v>
      </c>
      <c r="E43" s="60">
        <v>7</v>
      </c>
      <c r="F43" s="61">
        <v>0</v>
      </c>
      <c r="G43" s="62">
        <v>43770</v>
      </c>
      <c r="H43" s="62">
        <v>43770</v>
      </c>
      <c r="I43" s="62">
        <f t="shared" si="151"/>
        <v>43776</v>
      </c>
      <c r="J43" s="62">
        <f t="shared" si="152"/>
        <v>43776</v>
      </c>
      <c r="K43" s="62" t="str">
        <f t="shared" ca="1" si="153"/>
        <v>Em andamento</v>
      </c>
      <c r="L43" s="62" t="s">
        <v>26</v>
      </c>
      <c r="M43" s="62" t="s">
        <v>69</v>
      </c>
      <c r="N43" s="63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</row>
    <row r="44" spans="2:215" ht="18.95" customHeight="1" outlineLevel="1">
      <c r="B44" s="60" t="s">
        <v>79</v>
      </c>
      <c r="C44" s="75" t="s">
        <v>104</v>
      </c>
      <c r="D44" s="60">
        <v>2</v>
      </c>
      <c r="E44" s="60">
        <v>2</v>
      </c>
      <c r="F44" s="61">
        <v>0</v>
      </c>
      <c r="G44" s="62">
        <v>43776</v>
      </c>
      <c r="H44" s="62">
        <v>43776</v>
      </c>
      <c r="I44" s="62">
        <f t="shared" si="151"/>
        <v>43777</v>
      </c>
      <c r="J44" s="62">
        <f t="shared" si="152"/>
        <v>43777</v>
      </c>
      <c r="K44" s="62" t="str">
        <f t="shared" ca="1" si="153"/>
        <v>Em andamento</v>
      </c>
      <c r="L44" s="62" t="s">
        <v>26</v>
      </c>
      <c r="M44" s="62" t="s">
        <v>84</v>
      </c>
      <c r="N44" s="63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</row>
    <row r="45" spans="2:215" ht="18.95" customHeight="1" outlineLevel="1">
      <c r="B45" s="60" t="s">
        <v>80</v>
      </c>
      <c r="C45" s="75" t="s">
        <v>105</v>
      </c>
      <c r="D45" s="60">
        <v>2</v>
      </c>
      <c r="E45" s="60">
        <v>2</v>
      </c>
      <c r="F45" s="61">
        <v>0</v>
      </c>
      <c r="G45" s="62">
        <v>43780</v>
      </c>
      <c r="H45" s="62">
        <v>43780</v>
      </c>
      <c r="I45" s="62">
        <f t="shared" si="144"/>
        <v>43781</v>
      </c>
      <c r="J45" s="62">
        <f t="shared" si="142"/>
        <v>43781</v>
      </c>
      <c r="K45" s="62" t="str">
        <f t="shared" ca="1" si="143"/>
        <v>Em andamento</v>
      </c>
      <c r="L45" s="62" t="s">
        <v>26</v>
      </c>
      <c r="M45" s="62" t="s">
        <v>35</v>
      </c>
      <c r="N45" s="63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</row>
    <row r="46" spans="2:215" ht="18.95" customHeight="1" outlineLevel="1">
      <c r="B46" s="60" t="s">
        <v>81</v>
      </c>
      <c r="C46" s="75" t="s">
        <v>106</v>
      </c>
      <c r="D46" s="60">
        <v>2</v>
      </c>
      <c r="E46" s="60">
        <v>2</v>
      </c>
      <c r="F46" s="61">
        <v>0</v>
      </c>
      <c r="G46" s="62">
        <v>43781</v>
      </c>
      <c r="H46" s="62">
        <v>43781</v>
      </c>
      <c r="I46" s="62">
        <f t="shared" si="144"/>
        <v>43782</v>
      </c>
      <c r="J46" s="62">
        <f t="shared" si="142"/>
        <v>43782</v>
      </c>
      <c r="K46" s="62" t="str">
        <f t="shared" ca="1" si="143"/>
        <v>Em andamento</v>
      </c>
      <c r="L46" s="62" t="s">
        <v>25</v>
      </c>
      <c r="M46" s="62" t="s">
        <v>70</v>
      </c>
      <c r="N46" s="63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</row>
    <row r="47" spans="2:215" s="27" customFormat="1" ht="18.95" customHeight="1">
      <c r="B47" s="55" t="s">
        <v>66</v>
      </c>
      <c r="C47" s="74" t="s">
        <v>20</v>
      </c>
      <c r="D47" s="56">
        <f>(I47-G47)+1</f>
        <v>1</v>
      </c>
      <c r="E47" s="56">
        <f>(J47-H47)+1</f>
        <v>1</v>
      </c>
      <c r="F47" s="57">
        <f>(SUMPRODUCT(E48:E49,F48:F49))/SUM(E48:E49)</f>
        <v>0</v>
      </c>
      <c r="G47" s="58">
        <f>SMALL($G$48:$G$49,1)</f>
        <v>43783</v>
      </c>
      <c r="H47" s="58">
        <f>SMALL($H$48:$H$49,1)</f>
        <v>43783</v>
      </c>
      <c r="I47" s="58">
        <f>LARGE($I$48:$I$49,1)</f>
        <v>43783</v>
      </c>
      <c r="J47" s="58">
        <f>LARGE($J$48:$J$49,1)</f>
        <v>43783</v>
      </c>
      <c r="K47" s="64"/>
      <c r="L47" s="58"/>
      <c r="M47" s="58"/>
      <c r="N47" s="5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</row>
    <row r="48" spans="2:215" ht="18.95" customHeight="1" outlineLevel="1">
      <c r="B48" s="60" t="s">
        <v>67</v>
      </c>
      <c r="C48" s="75" t="s">
        <v>82</v>
      </c>
      <c r="D48" s="60">
        <v>0.5</v>
      </c>
      <c r="E48" s="60">
        <v>0.5</v>
      </c>
      <c r="F48" s="61">
        <v>0</v>
      </c>
      <c r="G48" s="62">
        <v>43783</v>
      </c>
      <c r="H48" s="62">
        <v>43783</v>
      </c>
      <c r="I48" s="62">
        <f t="shared" si="144"/>
        <v>43783</v>
      </c>
      <c r="J48" s="62">
        <f t="shared" si="142"/>
        <v>43783</v>
      </c>
      <c r="K48" s="62" t="str">
        <f t="shared" ca="1" si="143"/>
        <v>Em andamento</v>
      </c>
      <c r="L48" s="62" t="s">
        <v>26</v>
      </c>
      <c r="M48" s="62" t="s">
        <v>70</v>
      </c>
      <c r="N48" s="63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</row>
    <row r="49" spans="2:215" ht="15" outlineLevel="1">
      <c r="B49" s="60" t="s">
        <v>124</v>
      </c>
      <c r="C49" s="76" t="s">
        <v>83</v>
      </c>
      <c r="D49" s="60">
        <v>0.5</v>
      </c>
      <c r="E49" s="60">
        <v>0.5</v>
      </c>
      <c r="F49" s="61">
        <v>0</v>
      </c>
      <c r="G49" s="62">
        <v>43783</v>
      </c>
      <c r="H49" s="62">
        <v>43783</v>
      </c>
      <c r="I49" s="62">
        <f t="shared" si="144"/>
        <v>43783</v>
      </c>
      <c r="J49" s="62">
        <f t="shared" si="142"/>
        <v>43783</v>
      </c>
      <c r="K49" s="62" t="str">
        <f t="shared" ca="1" si="143"/>
        <v>Em andamento</v>
      </c>
      <c r="L49" s="62" t="s">
        <v>25</v>
      </c>
      <c r="M49" s="62" t="s">
        <v>70</v>
      </c>
      <c r="N49" s="63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</row>
    <row r="50" spans="2:215" s="27" customFormat="1">
      <c r="B50" s="28"/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2:215" s="27" customFormat="1"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2:215" s="27" customFormat="1"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2:215" s="27" customFormat="1"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2:215" s="27" customFormat="1"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2:215" s="27" customFormat="1"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2:215" s="27" customFormat="1"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2:215" s="27" customFormat="1"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2:215" s="27" customFormat="1"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2:215" s="27" customFormat="1"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2:215" s="27" customFormat="1"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2:215" s="27" customFormat="1"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2:215" s="27" customFormat="1"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2:215" s="27" customFormat="1"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2:215" s="27" customFormat="1"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3:35" s="27" customFormat="1"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3:35" s="27" customFormat="1"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3:35" s="27" customFormat="1"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3:35" s="27" customFormat="1"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3:35" s="27" customFormat="1"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3:35" s="27" customFormat="1"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3:35" s="27" customFormat="1"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3:35" s="27" customFormat="1"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3:35" s="27" customFormat="1"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3:35" s="27" customFormat="1"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3:35" s="27" customFormat="1"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3:35" s="27" customFormat="1"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3:35" s="27" customFormat="1"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3:35" s="27" customFormat="1"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3:35" s="27" customFormat="1"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3:35" s="27" customFormat="1"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3:35" s="27" customFormat="1"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3:35" s="27" customFormat="1"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3:35" s="27" customFormat="1"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3:35" s="27" customFormat="1"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3:35" s="27" customFormat="1"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3:35" s="27" customFormat="1"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3:35" s="27" customFormat="1"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3:35" s="27" customFormat="1"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3:35" s="27" customFormat="1"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3:35" s="27" customFormat="1"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3:35" s="27" customFormat="1"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3:35" s="27" customFormat="1"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3:35" s="27" customFormat="1"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3:35" s="27" customFormat="1"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3:35" s="27" customFormat="1"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3:35" s="27" customFormat="1"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3:35" s="27" customFormat="1"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3:35" s="27" customFormat="1"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3:35" s="27" customFormat="1"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3:35" s="27" customFormat="1"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3:35" s="27" customFormat="1"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3:35" s="27" customFormat="1"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3:35" s="27" customFormat="1"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3:35" s="27" customFormat="1"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3:35" s="27" customFormat="1"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3:35" s="27" customFormat="1"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3:35" s="27" customFormat="1"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3:35" s="27" customFormat="1"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3:35" s="27" customFormat="1"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3:35" s="27" customFormat="1"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3:35" s="27" customFormat="1"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3:35" s="27" customFormat="1"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3:35" s="27" customFormat="1"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3:35" s="27" customFormat="1"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3:35" s="27" customFormat="1"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3:35" s="27" customFormat="1"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3:35" s="27" customFormat="1"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3:35" s="27" customFormat="1"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3:35" s="27" customFormat="1"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3:35" s="27" customFormat="1"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3:35" s="27" customFormat="1"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3:35" s="27" customFormat="1"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3:35" s="27" customFormat="1"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3:35" s="27" customFormat="1"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3:35" s="27" customFormat="1"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3:35" s="27" customFormat="1"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3:35" s="27" customFormat="1"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3:35" s="27" customFormat="1"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3:35" s="27" customFormat="1"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3:35" s="27" customFormat="1"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3:35" s="27" customFormat="1"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3:35" s="27" customFormat="1"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3:35" s="27" customFormat="1"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3:35" s="27" customFormat="1"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3:35" s="27" customFormat="1"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3:35" s="27" customFormat="1"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3:35" s="27" customFormat="1"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3:35" s="27" customFormat="1"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3:35" s="27" customFormat="1"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3:35" s="27" customFormat="1"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3:35" s="27" customFormat="1"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3:35" s="27" customFormat="1"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3:35" s="27" customFormat="1"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3:35" s="27" customFormat="1"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3:35" s="27" customFormat="1"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3:35" s="27" customFormat="1"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3:35" s="27" customFormat="1"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3:35" s="27" customFormat="1"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3:35" s="27" customFormat="1"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3:35" s="27" customFormat="1"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3:35" s="27" customFormat="1"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3:35" s="27" customFormat="1"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3:35" s="27" customFormat="1"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3:35" s="27" customFormat="1"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3:35" s="27" customFormat="1"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3:35" s="27" customFormat="1"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3:35" s="27" customFormat="1"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3:35" s="27" customFormat="1"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3:35" s="27" customFormat="1"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3:35" s="27" customFormat="1"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3:35" s="27" customFormat="1"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3:35" s="27" customFormat="1"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3:35" s="27" customFormat="1"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3:35" s="27" customFormat="1"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3:35" s="27" customFormat="1"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3:35" s="27" customFormat="1"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3:35" s="27" customFormat="1"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3:35" s="27" customFormat="1"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3:35" s="27" customFormat="1"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3:35" s="27" customFormat="1"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3:35" s="27" customFormat="1"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3:35" s="27" customFormat="1"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3:35" s="27" customFormat="1"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3:35" s="27" customFormat="1"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3:35" s="27" customFormat="1"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3:35" s="27" customFormat="1"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3:35" s="27" customFormat="1"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3:35" s="27" customFormat="1"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3:35" s="27" customFormat="1"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3:35" s="27" customFormat="1"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3:35" s="27" customFormat="1"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3:35" s="27" customFormat="1"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3:35" s="27" customFormat="1"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3:35" s="27" customFormat="1"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3:35" s="27" customFormat="1"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3:35" s="27" customFormat="1"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3:35" s="27" customFormat="1"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3:35" s="27" customFormat="1"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3:35" s="27" customFormat="1"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3:35" s="27" customFormat="1"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3:35" s="27" customFormat="1"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3:35" s="27" customFormat="1"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3:35" s="27" customFormat="1"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3:35" s="27" customFormat="1"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3:35" s="27" customFormat="1"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3:35" s="27" customFormat="1"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3:35" s="27" customFormat="1"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3:35" s="27" customFormat="1"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3:35" s="27" customFormat="1"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3:35" s="27" customFormat="1"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3:35" s="27" customFormat="1"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3:35" s="27" customFormat="1"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3:35" s="27" customFormat="1"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3:35" s="27" customFormat="1"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3:35" s="27" customFormat="1"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3:35" s="27" customFormat="1"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3:35" s="27" customFormat="1"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3:35" s="27" customFormat="1"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3:35" s="27" customFormat="1"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3:35" s="27" customFormat="1"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3:35" s="27" customFormat="1"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3:35" s="27" customFormat="1"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3:35" s="27" customFormat="1"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3:35" s="27" customFormat="1"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3:35" s="27" customFormat="1"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3:35" s="27" customFormat="1"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3:35" s="27" customFormat="1"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3:35" s="27" customFormat="1"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3:35" s="27" customFormat="1"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3:35" s="27" customFormat="1"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3:35" s="27" customFormat="1"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3:35" s="27" customFormat="1"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3:35" s="27" customFormat="1"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3:35" s="27" customFormat="1"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3:35" s="27" customFormat="1"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3:35" s="27" customFormat="1"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3:35" s="27" customFormat="1"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3:35" s="27" customFormat="1"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3:35" s="27" customFormat="1"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3:35" s="27" customFormat="1"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3:35" s="27" customFormat="1"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3:35" s="27" customFormat="1"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3:35" s="27" customFormat="1"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3:35" s="27" customFormat="1"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3:35" s="27" customFormat="1"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3:35" s="27" customFormat="1"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3:35" s="27" customFormat="1"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3:35" s="27" customFormat="1"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3:35" s="27" customFormat="1"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3:35" s="27" customFormat="1"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3:35" s="27" customFormat="1"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3:35" s="27" customFormat="1"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3:35" s="27" customFormat="1"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3:35" s="27" customFormat="1"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3:35" s="27" customFormat="1"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3:35" s="27" customFormat="1"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3:35" s="27" customFormat="1"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3:35" s="27" customFormat="1"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3:35" s="27" customFormat="1"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3:35" s="27" customFormat="1"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3:35" s="27" customFormat="1"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3:35" s="27" customFormat="1"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3:35" s="27" customFormat="1"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3:35" s="27" customFormat="1"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3:35" s="27" customFormat="1"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3:35" s="27" customFormat="1"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3:35" s="27" customFormat="1"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3:35" s="27" customFormat="1"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3:35" s="27" customFormat="1"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3:35" s="27" customFormat="1"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3:35" s="27" customFormat="1"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3:35" s="27" customFormat="1"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3:35" s="27" customFormat="1"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3:35" s="27" customFormat="1"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3:35" s="27" customFormat="1"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3:35" s="27" customFormat="1"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3:35" s="27" customFormat="1"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3:35" s="27" customFormat="1"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3:35" s="27" customFormat="1"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3:35" s="27" customFormat="1"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3:35" s="27" customFormat="1"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3:35" s="27" customFormat="1"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3:35" s="27" customFormat="1"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3:35" s="27" customFormat="1"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3:35" s="27" customFormat="1"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3:35" s="27" customFormat="1"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3:35" s="27" customFormat="1"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3:35" s="27" customFormat="1"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3:35" s="27" customFormat="1"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3:35" s="27" customFormat="1"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3:35" s="27" customFormat="1"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3:35" s="27" customFormat="1"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3:35" s="27" customFormat="1"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3:35" s="27" customFormat="1"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3:35" s="27" customFormat="1"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3:35" s="27" customFormat="1"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3:35" s="27" customFormat="1"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3:35" s="27" customFormat="1"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3:35" s="27" customFormat="1"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3:35" s="27" customFormat="1"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3:35" s="27" customFormat="1"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3:35" s="27" customFormat="1"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3:35" s="27" customFormat="1"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3:35" s="27" customFormat="1"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3:35" s="27" customFormat="1"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3:35" s="27" customFormat="1"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3:35" s="27" customFormat="1"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3:35" s="27" customFormat="1"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3:35" s="27" customFormat="1"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3:35" s="27" customFormat="1"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3:35" s="27" customFormat="1"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3:35" s="27" customFormat="1"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3:35" s="27" customFormat="1"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3:35" s="27" customFormat="1"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3:35" s="27" customFormat="1"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3:35" s="27" customFormat="1"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3:35" s="27" customFormat="1"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3:35" s="27" customFormat="1"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3:35" s="27" customFormat="1"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3:35" s="27" customFormat="1"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3:35" s="27" customFormat="1"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3:35" s="27" customFormat="1"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3:35" s="27" customFormat="1"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3:35" s="27" customFormat="1"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3:35" s="27" customFormat="1"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3:35" s="27" customFormat="1"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3:35" s="27" customFormat="1"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3:35" s="27" customFormat="1"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3:35" s="27" customFormat="1"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3:35" s="27" customFormat="1"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3:35" s="27" customFormat="1"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3:35" s="27" customFormat="1"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3:35" s="27" customFormat="1"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3:35" s="27" customFormat="1"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3:35" s="27" customFormat="1"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3:35" s="27" customFormat="1"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3:35" s="27" customFormat="1"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3:35" s="27" customFormat="1"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3:35" s="27" customFormat="1"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3:35" s="27" customFormat="1"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3:35" s="27" customFormat="1"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3:35" s="27" customFormat="1"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3:35" s="27" customFormat="1"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3:35" s="27" customFormat="1"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3:35" s="27" customFormat="1"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3:35" s="27" customFormat="1"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3:35" s="27" customFormat="1"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3:35" s="27" customFormat="1"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3:35" s="27" customFormat="1"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3:35" s="27" customFormat="1"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3:35" s="27" customFormat="1"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3:35" s="27" customFormat="1"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3:35" s="27" customFormat="1"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3:35" s="27" customFormat="1"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3:35" s="27" customFormat="1"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3:35" s="27" customFormat="1"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3:35" s="27" customFormat="1"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3:35" s="27" customFormat="1"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3:35" s="27" customFormat="1"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3:35" s="27" customFormat="1"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3:35" s="27" customFormat="1"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3:35" s="27" customFormat="1"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3:35" s="27" customFormat="1"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3:35" s="27" customFormat="1"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3:35" s="27" customFormat="1"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3:35" s="27" customFormat="1"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3:35" s="27" customFormat="1"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3:35" s="27" customFormat="1"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3:35" s="27" customFormat="1"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3:35" s="27" customFormat="1"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3:35" s="27" customFormat="1"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3:35" s="27" customFormat="1"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3:35" s="27" customFormat="1"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3:35" s="27" customFormat="1"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3:35" s="27" customFormat="1"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3:35" s="27" customFormat="1"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3:35" s="27" customFormat="1"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3:35" s="27" customFormat="1"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3:35" s="27" customFormat="1"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3:35" s="27" customFormat="1"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3:35" s="27" customFormat="1"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3:35" s="27" customFormat="1"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3:35" s="27" customFormat="1"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3:35" s="27" customFormat="1"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3:35" s="27" customFormat="1"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3:35" s="27" customFormat="1"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3:35" s="27" customFormat="1"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3:35" s="27" customFormat="1"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3:35" s="27" customFormat="1"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3:35" s="27" customFormat="1"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3:35" s="27" customFormat="1"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3:35" s="27" customFormat="1"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3:35" s="27" customFormat="1"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3:35" s="27" customFormat="1"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3:35" s="27" customFormat="1"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3:35" s="27" customFormat="1"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3:35" s="27" customFormat="1"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3:35" s="27" customFormat="1"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3:35" s="27" customFormat="1"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3:35" s="27" customFormat="1"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3:35" s="27" customFormat="1"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3:35" s="27" customFormat="1"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3:35" s="27" customFormat="1"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3:35" s="27" customFormat="1"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3:35" s="27" customFormat="1"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3:35" s="27" customFormat="1"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3:35" s="27" customFormat="1"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3:35" s="27" customFormat="1"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3:35" s="27" customFormat="1"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3:35" s="27" customFormat="1"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3:35" s="27" customFormat="1"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3:35" s="27" customFormat="1"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3:35" s="27" customFormat="1"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3:35" s="27" customFormat="1"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3:35" s="27" customFormat="1"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3:35" s="27" customFormat="1"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3:35" s="27" customFormat="1"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3:35" s="27" customFormat="1"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3:35" s="27" customFormat="1"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3:35" s="27" customFormat="1"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3:35" s="27" customFormat="1"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3:35" s="27" customFormat="1"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3:35" s="27" customFormat="1"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3:35" s="27" customFormat="1"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3:35" s="27" customFormat="1"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3:35" s="27" customFormat="1"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3:35" s="27" customFormat="1"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3:35" s="27" customFormat="1"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3:35" s="27" customFormat="1"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3:35" s="27" customFormat="1"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3:35" s="27" customFormat="1"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3:35" s="27" customFormat="1"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3:35" s="27" customFormat="1"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3:35" s="27" customFormat="1"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3:35" s="27" customFormat="1"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3:35" s="27" customFormat="1"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3:35" s="27" customFormat="1"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3:35" s="27" customFormat="1"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3:35" s="27" customFormat="1"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3:35" s="27" customFormat="1"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3:35" s="27" customFormat="1"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3:35" s="27" customFormat="1"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3:35" s="27" customFormat="1"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3:35" s="27" customFormat="1"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3:35" s="27" customFormat="1"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3:35" s="27" customFormat="1"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3:35" s="27" customFormat="1"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3:35" s="27" customFormat="1"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3:35" s="27" customFormat="1"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3:35" s="27" customFormat="1"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3:35" s="27" customFormat="1"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3:35" s="27" customFormat="1"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3:35" s="27" customFormat="1"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3:35" s="27" customFormat="1"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3:35" s="27" customFormat="1"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3:35" s="27" customFormat="1"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3:35" s="27" customFormat="1"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3:35" s="27" customFormat="1"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3:35" s="27" customFormat="1"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3:35" s="27" customFormat="1"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3:35" s="27" customFormat="1"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3:35" s="27" customFormat="1"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3:35" s="27" customFormat="1"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3:35" s="27" customFormat="1"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3:35" s="27" customFormat="1"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3:35" s="27" customFormat="1"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3:35" s="27" customFormat="1"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3:35" s="27" customFormat="1"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3:35" s="27" customFormat="1"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3:35" s="27" customFormat="1"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3:35" s="27" customFormat="1"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3:35" s="27" customFormat="1"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3:35" s="27" customFormat="1"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3:35" s="27" customFormat="1"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3:35" s="27" customFormat="1"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3:35" s="27" customFormat="1"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3:35" s="27" customFormat="1"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3:35" s="27" customFormat="1"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3:35" s="27" customFormat="1"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3:35" s="27" customFormat="1"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3:35" s="27" customFormat="1"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3:35" s="27" customFormat="1"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3:35" s="27" customFormat="1"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3:35" s="27" customFormat="1"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3:35" s="27" customFormat="1"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3:35" s="27" customFormat="1"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3:35" s="27" customFormat="1"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3:35" s="27" customFormat="1"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3:35" s="27" customFormat="1"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3:35" s="27" customFormat="1"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3:35" s="27" customFormat="1"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3:35" s="27" customFormat="1"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3:35" s="27" customFormat="1"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3:35" s="27" customFormat="1"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3:35" s="27" customFormat="1"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3:35" s="27" customFormat="1"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3:35" s="27" customFormat="1"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3:35" s="27" customFormat="1"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3:35" s="27" customFormat="1"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3:35" s="27" customFormat="1"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3:35" s="27" customFormat="1"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3:35" s="27" customFormat="1"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3:35" s="27" customFormat="1"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3:35" s="27" customFormat="1"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3:35" s="27" customFormat="1"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3:35" s="27" customFormat="1"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3:35" s="27" customFormat="1"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3:35" s="27" customFormat="1"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3:35" s="27" customFormat="1"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3:35" s="27" customFormat="1"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3:35" s="27" customFormat="1"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3:35" s="27" customFormat="1"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3:35" s="27" customFormat="1"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3:35" s="27" customFormat="1"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3:35" s="27" customFormat="1"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3:35" s="27" customFormat="1"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3:35" s="27" customFormat="1"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3:35" s="27" customFormat="1"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3:35" s="27" customFormat="1"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3:35" s="27" customFormat="1"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3:35" s="27" customFormat="1"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3:35" s="27" customFormat="1"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3:35" s="27" customFormat="1"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3:35" s="27" customFormat="1"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3:35" s="27" customFormat="1"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3:35" s="27" customFormat="1"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3:35" s="27" customFormat="1"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3:35" s="27" customFormat="1"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3:35" s="27" customFormat="1"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3:35" s="27" customFormat="1"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3:35" s="27" customFormat="1"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3:35" s="27" customFormat="1"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3:35" s="27" customFormat="1"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3:35" s="27" customFormat="1"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3:35" s="27" customFormat="1"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3:35" s="27" customFormat="1"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3:35" s="27" customFormat="1"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3:35" s="27" customFormat="1"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3:35" s="27" customFormat="1"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3:35" s="27" customFormat="1"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3:35" s="27" customFormat="1"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3:35" s="27" customFormat="1"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3:35" s="27" customFormat="1"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3:35" s="27" customFormat="1"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3:35" s="27" customFormat="1"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3:35" s="27" customFormat="1"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3:35" s="27" customFormat="1"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3:35" s="27" customFormat="1"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3:35" s="27" customFormat="1"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3:35" s="27" customFormat="1"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3:35" s="27" customFormat="1"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3:35" s="27" customFormat="1"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3:35" s="27" customFormat="1"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3:35" s="27" customFormat="1"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3:35" s="27" customFormat="1"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3:35" s="27" customFormat="1"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3:35" s="27" customFormat="1"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3:35" s="27" customFormat="1"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3:35" s="27" customFormat="1"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3:35" s="27" customFormat="1"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3:35" s="27" customFormat="1"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3:35" s="27" customFormat="1"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3:35" s="27" customFormat="1"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3:35" s="27" customFormat="1"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3:35" s="27" customFormat="1"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3:35" s="27" customFormat="1"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3:35" s="27" customFormat="1"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3:35" s="27" customFormat="1"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3:35" s="27" customFormat="1"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3:35" s="27" customFormat="1"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3:35" s="27" customFormat="1"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3:35" s="27" customFormat="1"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3:35" s="27" customFormat="1"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3:35" s="27" customFormat="1"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3:35" s="27" customFormat="1"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3:35" s="27" customFormat="1"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3:35" s="27" customFormat="1"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3:35" s="27" customFormat="1"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3:35" s="27" customFormat="1"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3:35" s="27" customFormat="1"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3:35" s="27" customFormat="1"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3:35" s="27" customFormat="1"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3:35" s="27" customFormat="1"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3:35" s="27" customFormat="1"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3:35" s="27" customFormat="1"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3:35" s="27" customFormat="1"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3:35" s="27" customFormat="1"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3:35" s="27" customFormat="1"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3:35" s="27" customFormat="1"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3:35" s="27" customFormat="1"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3:35" s="27" customFormat="1"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3:35" s="27" customFormat="1"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3:35" s="27" customFormat="1"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3:35" s="27" customFormat="1"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3:35" s="27" customFormat="1"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3:35" s="27" customFormat="1"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3:35" s="27" customFormat="1"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3:35" s="27" customFormat="1"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3:35" s="27" customFormat="1"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3:35" s="27" customFormat="1"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3:35" s="27" customFormat="1"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3:35" s="27" customFormat="1"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3:35" s="27" customFormat="1"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3:35" s="27" customFormat="1"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3:35" s="27" customFormat="1"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3:35" s="27" customFormat="1"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3:35" s="27" customFormat="1"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3:35" s="27" customFormat="1"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3:35" s="27" customFormat="1"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3:35" s="27" customFormat="1"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3:35" s="27" customFormat="1"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3:35" s="27" customFormat="1"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3:35" s="27" customFormat="1"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3:35" s="27" customFormat="1"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3:35" s="27" customFormat="1"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3:35" s="27" customFormat="1"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3:35" s="27" customFormat="1"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3:35" s="27" customFormat="1"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3:35" s="27" customFormat="1"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3:35" s="27" customFormat="1"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3:35" s="27" customFormat="1"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3:35" s="27" customFormat="1"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3:35" s="27" customFormat="1"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3:35" s="27" customFormat="1"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3:35" s="27" customFormat="1"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3:35" s="27" customFormat="1"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3:35" s="27" customFormat="1"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3:35" s="27" customFormat="1"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3:35" s="27" customFormat="1"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3:35" s="27" customFormat="1"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3:35" s="27" customFormat="1"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3:35" s="27" customFormat="1"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3:35" s="27" customFormat="1"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3:35" s="27" customFormat="1"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3:35" s="27" customFormat="1"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3:35" s="27" customFormat="1"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3:35" s="27" customFormat="1"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3:35" s="27" customFormat="1"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3:35" s="27" customFormat="1"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3:35" s="27" customFormat="1"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3:35" s="27" customFormat="1"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3:35" s="27" customFormat="1"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3:35" s="27" customFormat="1"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3:35" s="27" customFormat="1"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3:35" s="27" customFormat="1"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3:35" s="27" customFormat="1"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3:35" s="27" customFormat="1"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3:35" s="27" customFormat="1"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3:35" s="27" customFormat="1"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3:35" s="27" customFormat="1"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3:35" s="27" customFormat="1"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3:35" s="27" customFormat="1"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3:35" s="27" customFormat="1"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3:35" s="27" customFormat="1"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3:35" s="27" customFormat="1"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3:35" s="27" customFormat="1"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3:35" s="27" customFormat="1"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3:35" s="27" customFormat="1"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3:35" s="27" customFormat="1"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3:35" s="27" customFormat="1"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3:35" s="27" customFormat="1"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3:35" s="27" customFormat="1"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3:35" s="27" customFormat="1"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3:35" s="27" customFormat="1"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3:35" s="27" customFormat="1"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3:35" s="27" customFormat="1"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3:35" s="27" customFormat="1"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3:35" s="27" customFormat="1"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3:35" s="27" customFormat="1"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3:35" s="27" customFormat="1"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3:35" s="27" customFormat="1"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3:35" s="27" customFormat="1"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3:35" s="27" customFormat="1"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3:35" s="27" customFormat="1"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3:35" s="27" customFormat="1"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3:35" s="27" customFormat="1"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3:35" s="27" customFormat="1"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3:35" s="27" customFormat="1"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3:35" s="27" customFormat="1"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3:35" s="27" customFormat="1"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3:35" s="27" customFormat="1"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3:35" s="27" customFormat="1"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3:35" s="27" customFormat="1"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3:35" s="27" customFormat="1"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3:35" s="27" customFormat="1"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3:35" s="27" customFormat="1"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3:35" s="27" customFormat="1"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3:35" s="27" customFormat="1"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3:35" s="27" customFormat="1"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3:35" s="27" customFormat="1"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3:35" s="27" customFormat="1"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3:35" s="27" customFormat="1"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3:35" s="27" customFormat="1"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3:35" s="27" customFormat="1"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3:35" s="27" customFormat="1"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3:35" s="27" customFormat="1"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3:35" s="27" customFormat="1"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3:35" s="27" customFormat="1"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C698" s="28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 s="27" customFormat="1">
      <c r="C699" s="28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</row>
    <row r="700" spans="1:215" s="27" customFormat="1"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</row>
    <row r="701" spans="1:215" s="27" customFormat="1">
      <c r="C701" s="28"/>
      <c r="D701" s="29"/>
      <c r="E701" s="29"/>
      <c r="F701" s="30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</row>
    <row r="702" spans="1:215" s="27" customFormat="1">
      <c r="C702" s="28"/>
      <c r="D702" s="29"/>
      <c r="E702" s="29"/>
      <c r="F702" s="30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</row>
    <row r="703" spans="1:215" s="27" customFormat="1">
      <c r="C703" s="65"/>
      <c r="D703" s="29"/>
      <c r="E703" s="29"/>
      <c r="F703" s="30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</row>
    <row r="704" spans="1:215">
      <c r="A704" s="27"/>
      <c r="B704" s="27"/>
      <c r="C704" s="28"/>
      <c r="D704" s="29"/>
      <c r="E704" s="29"/>
      <c r="F704" s="30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29"/>
      <c r="AB704" s="29"/>
      <c r="AC704" s="29"/>
      <c r="AD704" s="29"/>
      <c r="AE704" s="29"/>
      <c r="AF704" s="29"/>
      <c r="AG704" s="29"/>
      <c r="AH704" s="29"/>
      <c r="AI704" s="29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27"/>
      <c r="CH704" s="27"/>
      <c r="CI704" s="27"/>
      <c r="CJ704" s="27"/>
      <c r="CK704" s="27"/>
      <c r="CL704" s="27"/>
      <c r="CM704" s="27"/>
      <c r="CN704" s="27"/>
      <c r="CO704" s="27"/>
      <c r="CP704" s="27"/>
      <c r="CQ704" s="27"/>
      <c r="CR704" s="27"/>
      <c r="CS704" s="27"/>
      <c r="CT704" s="27"/>
      <c r="CU704" s="27"/>
      <c r="CV704" s="27"/>
      <c r="CW704" s="27"/>
      <c r="CX704" s="27"/>
      <c r="CY704" s="27"/>
      <c r="CZ704" s="27"/>
      <c r="DA704" s="27"/>
      <c r="DB704" s="27"/>
      <c r="DC704" s="27"/>
      <c r="DD704" s="27"/>
      <c r="DE704" s="27"/>
      <c r="DF704" s="27"/>
      <c r="DG704" s="27"/>
      <c r="DH704" s="27"/>
      <c r="DI704" s="27"/>
      <c r="DJ704" s="27"/>
      <c r="DK704" s="27"/>
      <c r="DL704" s="27"/>
      <c r="DM704" s="27"/>
      <c r="DN704" s="27"/>
      <c r="DO704" s="27"/>
      <c r="DP704" s="27"/>
      <c r="DQ704" s="27"/>
      <c r="DR704" s="27"/>
      <c r="DS704" s="27"/>
      <c r="DT704" s="27"/>
      <c r="DU704" s="27"/>
      <c r="DV704" s="27"/>
      <c r="DW704" s="27"/>
      <c r="DX704" s="27"/>
      <c r="DY704" s="27"/>
      <c r="DZ704" s="27"/>
      <c r="EA704" s="27"/>
      <c r="EB704" s="27"/>
      <c r="EC704" s="27"/>
      <c r="ED704" s="27"/>
      <c r="EE704" s="27"/>
      <c r="EF704" s="27"/>
      <c r="EG704" s="27"/>
      <c r="EH704" s="27"/>
      <c r="EI704" s="27"/>
      <c r="EJ704" s="27"/>
      <c r="EK704" s="27"/>
      <c r="EL704" s="27"/>
      <c r="EM704" s="27"/>
      <c r="EN704" s="27"/>
      <c r="EO704" s="27"/>
      <c r="EP704" s="27"/>
      <c r="EQ704" s="27"/>
      <c r="ER704" s="27"/>
      <c r="ES704" s="27"/>
      <c r="ET704" s="27"/>
      <c r="EU704" s="27"/>
      <c r="EV704" s="27"/>
      <c r="EW704" s="27"/>
      <c r="EX704" s="27"/>
      <c r="EY704" s="27"/>
      <c r="EZ704" s="27"/>
      <c r="FA704" s="27"/>
      <c r="FB704" s="27"/>
      <c r="FC704" s="27"/>
      <c r="FD704" s="27"/>
      <c r="FE704" s="27"/>
      <c r="FF704" s="27"/>
      <c r="FG704" s="27"/>
      <c r="FH704" s="27"/>
      <c r="FI704" s="27"/>
      <c r="FJ704" s="27"/>
      <c r="FK704" s="27"/>
      <c r="FL704" s="27"/>
      <c r="FM704" s="27"/>
      <c r="FN704" s="27"/>
      <c r="FO704" s="27"/>
      <c r="FP704" s="27"/>
      <c r="FQ704" s="27"/>
      <c r="FR704" s="27"/>
      <c r="FS704" s="27"/>
      <c r="FT704" s="27"/>
      <c r="FU704" s="27"/>
      <c r="FV704" s="27"/>
      <c r="FW704" s="27"/>
      <c r="FX704" s="27"/>
      <c r="FY704" s="27"/>
      <c r="FZ704" s="27"/>
      <c r="GA704" s="27"/>
      <c r="GB704" s="27"/>
      <c r="GC704" s="27"/>
      <c r="GD704" s="27"/>
      <c r="GE704" s="27"/>
      <c r="GF704" s="27"/>
      <c r="GG704" s="27"/>
      <c r="GH704" s="27"/>
      <c r="GI704" s="27"/>
      <c r="GJ704" s="27"/>
      <c r="GK704" s="27"/>
      <c r="GL704" s="27"/>
      <c r="GM704" s="27"/>
      <c r="GN704" s="27"/>
      <c r="GO704" s="27"/>
      <c r="GP704" s="27"/>
      <c r="GQ704" s="27"/>
      <c r="GR704" s="27"/>
      <c r="GS704" s="27"/>
      <c r="GT704" s="27"/>
      <c r="GU704" s="27"/>
      <c r="GV704" s="27"/>
      <c r="GW704" s="27"/>
      <c r="GX704" s="27"/>
      <c r="GY704" s="27"/>
      <c r="GZ704" s="27"/>
      <c r="HA704" s="27"/>
      <c r="HB704" s="27"/>
      <c r="HC704" s="27"/>
      <c r="HD704" s="27"/>
      <c r="HE704" s="27"/>
      <c r="HF704" s="27"/>
      <c r="HG704" s="27"/>
    </row>
    <row r="705" spans="1:215">
      <c r="A705" s="27"/>
      <c r="B705" s="27"/>
      <c r="C705" s="28"/>
      <c r="D705" s="29"/>
      <c r="E705" s="29"/>
      <c r="F705" s="30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29"/>
      <c r="AB705" s="29"/>
      <c r="AC705" s="29"/>
      <c r="AD705" s="29"/>
      <c r="AE705" s="29"/>
      <c r="AF705" s="29"/>
      <c r="AG705" s="29"/>
      <c r="AH705" s="29"/>
      <c r="AI705" s="29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27"/>
      <c r="CH705" s="27"/>
      <c r="CI705" s="27"/>
      <c r="CJ705" s="27"/>
      <c r="CK705" s="27"/>
      <c r="CL705" s="27"/>
      <c r="CM705" s="27"/>
      <c r="CN705" s="27"/>
      <c r="CO705" s="27"/>
      <c r="CP705" s="27"/>
      <c r="CQ705" s="27"/>
      <c r="CR705" s="27"/>
      <c r="CS705" s="27"/>
      <c r="CT705" s="27"/>
      <c r="CU705" s="27"/>
      <c r="CV705" s="27"/>
      <c r="CW705" s="27"/>
      <c r="CX705" s="27"/>
      <c r="CY705" s="27"/>
      <c r="CZ705" s="27"/>
      <c r="DA705" s="27"/>
      <c r="DB705" s="27"/>
      <c r="DC705" s="27"/>
      <c r="DD705" s="27"/>
      <c r="DE705" s="27"/>
      <c r="DF705" s="27"/>
      <c r="DG705" s="27"/>
      <c r="DH705" s="27"/>
      <c r="DI705" s="27"/>
      <c r="DJ705" s="27"/>
      <c r="DK705" s="27"/>
      <c r="DL705" s="27"/>
      <c r="DM705" s="27"/>
      <c r="DN705" s="27"/>
      <c r="DO705" s="27"/>
      <c r="DP705" s="27"/>
      <c r="DQ705" s="27"/>
      <c r="DR705" s="27"/>
      <c r="DS705" s="27"/>
      <c r="DT705" s="27"/>
      <c r="DU705" s="27"/>
      <c r="DV705" s="27"/>
      <c r="DW705" s="27"/>
      <c r="DX705" s="27"/>
      <c r="DY705" s="27"/>
      <c r="DZ705" s="27"/>
      <c r="EA705" s="27"/>
      <c r="EB705" s="27"/>
      <c r="EC705" s="27"/>
      <c r="ED705" s="27"/>
      <c r="EE705" s="27"/>
      <c r="EF705" s="27"/>
      <c r="EG705" s="27"/>
      <c r="EH705" s="27"/>
      <c r="EI705" s="27"/>
      <c r="EJ705" s="27"/>
      <c r="EK705" s="27"/>
      <c r="EL705" s="27"/>
      <c r="EM705" s="27"/>
      <c r="EN705" s="27"/>
      <c r="EO705" s="27"/>
      <c r="EP705" s="27"/>
      <c r="EQ705" s="27"/>
      <c r="ER705" s="27"/>
      <c r="ES705" s="27"/>
      <c r="ET705" s="27"/>
      <c r="EU705" s="27"/>
      <c r="EV705" s="27"/>
      <c r="EW705" s="27"/>
      <c r="EX705" s="27"/>
      <c r="EY705" s="27"/>
      <c r="EZ705" s="27"/>
      <c r="FA705" s="27"/>
      <c r="FB705" s="27"/>
      <c r="FC705" s="27"/>
      <c r="FD705" s="27"/>
      <c r="FE705" s="27"/>
      <c r="FF705" s="27"/>
      <c r="FG705" s="27"/>
      <c r="FH705" s="27"/>
      <c r="FI705" s="27"/>
      <c r="FJ705" s="27"/>
      <c r="FK705" s="27"/>
      <c r="FL705" s="27"/>
      <c r="FM705" s="27"/>
      <c r="FN705" s="27"/>
      <c r="FO705" s="27"/>
      <c r="FP705" s="27"/>
      <c r="FQ705" s="27"/>
      <c r="FR705" s="27"/>
      <c r="FS705" s="27"/>
      <c r="FT705" s="27"/>
      <c r="FU705" s="27"/>
      <c r="FV705" s="27"/>
      <c r="FW705" s="27"/>
      <c r="FX705" s="27"/>
      <c r="FY705" s="27"/>
      <c r="FZ705" s="27"/>
      <c r="GA705" s="27"/>
      <c r="GB705" s="27"/>
      <c r="GC705" s="27"/>
      <c r="GD705" s="27"/>
      <c r="GE705" s="27"/>
      <c r="GF705" s="27"/>
      <c r="GG705" s="27"/>
      <c r="GH705" s="27"/>
      <c r="GI705" s="27"/>
      <c r="GJ705" s="27"/>
      <c r="GK705" s="27"/>
      <c r="GL705" s="27"/>
      <c r="GM705" s="27"/>
      <c r="GN705" s="27"/>
      <c r="GO705" s="27"/>
      <c r="GP705" s="27"/>
      <c r="GQ705" s="27"/>
      <c r="GR705" s="27"/>
      <c r="GS705" s="27"/>
      <c r="GT705" s="27"/>
      <c r="GU705" s="27"/>
      <c r="GV705" s="27"/>
      <c r="GW705" s="27"/>
      <c r="GX705" s="27"/>
      <c r="GY705" s="27"/>
      <c r="GZ705" s="27"/>
      <c r="HA705" s="27"/>
      <c r="HB705" s="27"/>
      <c r="HC705" s="27"/>
      <c r="HD705" s="27"/>
      <c r="HE705" s="27"/>
      <c r="HF705" s="27"/>
      <c r="HG705" s="27"/>
    </row>
  </sheetData>
  <sheetProtection insertRows="0" deleteRows="0" autoFilter="0"/>
  <autoFilter ref="B6:N50"/>
  <mergeCells count="3">
    <mergeCell ref="B2:G5"/>
    <mergeCell ref="H4:I4"/>
    <mergeCell ref="H2:I2"/>
  </mergeCells>
  <phoneticPr fontId="28" type="noConversion"/>
  <conditionalFormatting sqref="D50:BW50">
    <cfRule type="expression" dxfId="44" priority="48">
      <formula>TRUE</formula>
    </cfRule>
  </conditionalFormatting>
  <conditionalFormatting sqref="P19:HG20 P22:HG49 P7:HG17">
    <cfRule type="expression" dxfId="43" priority="133">
      <formula>_Real</formula>
    </cfRule>
    <cfRule type="expression" dxfId="42" priority="134">
      <formula>_CompletedAfterDeadline</formula>
    </cfRule>
    <cfRule type="expression" dxfId="41" priority="135">
      <formula>_Planned</formula>
    </cfRule>
    <cfRule type="expression" dxfId="40" priority="136">
      <formula>P$6=$J$4+_TimeFrameSelected-1</formula>
    </cfRule>
    <cfRule type="expression" dxfId="39" priority="137">
      <formula>MOD(COLUMN(),2)</formula>
    </cfRule>
    <cfRule type="expression" dxfId="38" priority="138">
      <formula>MOD(COLUMN(),2)=0</formula>
    </cfRule>
  </conditionalFormatting>
  <conditionalFormatting sqref="P6:HG6">
    <cfRule type="expression" dxfId="37" priority="139">
      <formula>P$6=$J$4+_TimeFrameSelected-1</formula>
    </cfRule>
  </conditionalFormatting>
  <conditionalFormatting sqref="BX50:HG50">
    <cfRule type="expression" dxfId="36" priority="46">
      <formula>TRUE</formula>
    </cfRule>
  </conditionalFormatting>
  <conditionalFormatting sqref="K19:K20 K22:K26 K28:K41 K45:K49 K9:K17">
    <cfRule type="containsText" dxfId="35" priority="39" operator="containsText" text="Em andamento">
      <formula>NOT(ISERROR(SEARCH("Em andamento",K9)))</formula>
    </cfRule>
    <cfRule type="containsText" dxfId="34" priority="40" operator="containsText" text="Em atraso">
      <formula>NOT(ISERROR(SEARCH("Em atraso",K9)))</formula>
    </cfRule>
    <cfRule type="containsText" dxfId="33" priority="41" operator="containsText" text="Concluído">
      <formula>NOT(ISERROR(SEARCH("Concluído",K9)))</formula>
    </cfRule>
  </conditionalFormatting>
  <conditionalFormatting sqref="B50">
    <cfRule type="expression" dxfId="32" priority="38">
      <formula>TRUE</formula>
    </cfRule>
  </conditionalFormatting>
  <conditionalFormatting sqref="P18:HG18">
    <cfRule type="expression" dxfId="31" priority="32">
      <formula>_Real</formula>
    </cfRule>
    <cfRule type="expression" dxfId="30" priority="33">
      <formula>_CompletedAfterDeadline</formula>
    </cfRule>
    <cfRule type="expression" dxfId="29" priority="34">
      <formula>_Planned</formula>
    </cfRule>
    <cfRule type="expression" dxfId="28" priority="35">
      <formula>P$6=$J$4+_TimeFrameSelected-1</formula>
    </cfRule>
    <cfRule type="expression" dxfId="27" priority="36">
      <formula>MOD(COLUMN(),2)</formula>
    </cfRule>
    <cfRule type="expression" dxfId="26" priority="37">
      <formula>MOD(COLUMN(),2)=0</formula>
    </cfRule>
  </conditionalFormatting>
  <conditionalFormatting sqref="K18">
    <cfRule type="containsText" dxfId="25" priority="27" operator="containsText" text="Em andamento">
      <formula>NOT(ISERROR(SEARCH("Em andamento",K18)))</formula>
    </cfRule>
    <cfRule type="containsText" dxfId="24" priority="28" operator="containsText" text="Em atraso">
      <formula>NOT(ISERROR(SEARCH("Em atraso",K18)))</formula>
    </cfRule>
    <cfRule type="containsText" dxfId="23" priority="29" operator="containsText" text="Concluído">
      <formula>NOT(ISERROR(SEARCH("Concluído",K18)))</formula>
    </cfRule>
  </conditionalFormatting>
  <conditionalFormatting sqref="P21:HG21">
    <cfRule type="expression" dxfId="22" priority="21">
      <formula>_Real</formula>
    </cfRule>
    <cfRule type="expression" dxfId="21" priority="22">
      <formula>_CompletedAfterDeadline</formula>
    </cfRule>
    <cfRule type="expression" dxfId="20" priority="23">
      <formula>_Planned</formula>
    </cfRule>
    <cfRule type="expression" dxfId="19" priority="24">
      <formula>P$6=$J$4+_TimeFrameSelected-1</formula>
    </cfRule>
    <cfRule type="expression" dxfId="18" priority="25">
      <formula>MOD(COLUMN(),2)</formula>
    </cfRule>
    <cfRule type="expression" dxfId="17" priority="26">
      <formula>MOD(COLUMN(),2)=0</formula>
    </cfRule>
  </conditionalFormatting>
  <conditionalFormatting sqref="K21">
    <cfRule type="containsText" dxfId="16" priority="13" operator="containsText" text="Em andamento">
      <formula>NOT(ISERROR(SEARCH("Em andamento",K21)))</formula>
    </cfRule>
    <cfRule type="containsText" dxfId="15" priority="14" operator="containsText" text="Em atraso">
      <formula>NOT(ISERROR(SEARCH("Em atraso",K21)))</formula>
    </cfRule>
    <cfRule type="containsText" dxfId="14" priority="15" operator="containsText" text="Concluído">
      <formula>NOT(ISERROR(SEARCH("Concluído",K21)))</formula>
    </cfRule>
  </conditionalFormatting>
  <conditionalFormatting sqref="K27">
    <cfRule type="containsText" dxfId="13" priority="10" operator="containsText" text="Em andamento">
      <formula>NOT(ISERROR(SEARCH("Em andamento",K27)))</formula>
    </cfRule>
    <cfRule type="containsText" dxfId="12" priority="11" operator="containsText" text="Em atraso">
      <formula>NOT(ISERROR(SEARCH("Em atraso",K27)))</formula>
    </cfRule>
    <cfRule type="containsText" dxfId="11" priority="12" operator="containsText" text="Concluído">
      <formula>NOT(ISERROR(SEARCH("Concluído",K27)))</formula>
    </cfRule>
  </conditionalFormatting>
  <conditionalFormatting sqref="K42">
    <cfRule type="containsText" dxfId="10" priority="7" operator="containsText" text="Em andamento">
      <formula>NOT(ISERROR(SEARCH("Em andamento",K42)))</formula>
    </cfRule>
    <cfRule type="containsText" dxfId="9" priority="8" operator="containsText" text="Em atraso">
      <formula>NOT(ISERROR(SEARCH("Em atraso",K42)))</formula>
    </cfRule>
    <cfRule type="containsText" dxfId="8" priority="9" operator="containsText" text="Concluído">
      <formula>NOT(ISERROR(SEARCH("Concluído",K42)))</formula>
    </cfRule>
  </conditionalFormatting>
  <conditionalFormatting sqref="K43">
    <cfRule type="containsText" dxfId="7" priority="4" operator="containsText" text="Em andamento">
      <formula>NOT(ISERROR(SEARCH("Em andamento",K43)))</formula>
    </cfRule>
    <cfRule type="containsText" dxfId="6" priority="5" operator="containsText" text="Em atraso">
      <formula>NOT(ISERROR(SEARCH("Em atraso",K43)))</formula>
    </cfRule>
    <cfRule type="containsText" dxfId="5" priority="6" operator="containsText" text="Concluído">
      <formula>NOT(ISERROR(SEARCH("Concluído",K43)))</formula>
    </cfRule>
  </conditionalFormatting>
  <conditionalFormatting sqref="K44">
    <cfRule type="containsText" dxfId="4" priority="1" operator="containsText" text="Em andamento">
      <formula>NOT(ISERROR(SEARCH("Em andamento",K44)))</formula>
    </cfRule>
    <cfRule type="containsText" dxfId="3" priority="2" operator="containsText" text="Em atraso">
      <formula>NOT(ISERROR(SEARCH("Em atraso",K44)))</formula>
    </cfRule>
    <cfRule type="containsText" dxfId="2" priority="3" operator="containsText" text="Concluído">
      <formula>NOT(ISERROR(SEARCH("Concluído",K44)))</formula>
    </cfRule>
  </conditionalFormatting>
  <conditionalFormatting sqref="P7:HG49">
    <cfRule type="expression" dxfId="1" priority="19">
      <formula>_PercentComplete</formula>
    </cfRule>
    <cfRule type="expression" dxfId="0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5</xdr:col>
                    <xdr:colOff>571500</xdr:colOff>
                    <xdr:row>50</xdr:row>
                    <xdr:rowOff>200025</xdr:rowOff>
                  </from>
                  <to>
                    <xdr:col>7</xdr:col>
                    <xdr:colOff>742950</xdr:colOff>
                    <xdr:row>55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E51"/>
  <sheetViews>
    <sheetView workbookViewId="0">
      <selection activeCell="C7" sqref="C7"/>
    </sheetView>
  </sheetViews>
  <sheetFormatPr defaultRowHeight="15"/>
  <cols>
    <col min="1" max="1" width="6.375" customWidth="1"/>
    <col min="2" max="2" width="15.25" customWidth="1"/>
    <col min="3" max="3" width="26.875" customWidth="1"/>
    <col min="4" max="4" width="17" customWidth="1"/>
  </cols>
  <sheetData>
    <row r="1" spans="2:5" ht="14.25" customHeight="1">
      <c r="B1" s="79" t="s">
        <v>44</v>
      </c>
      <c r="C1" s="80" t="s">
        <v>45</v>
      </c>
    </row>
    <row r="2" spans="2:5" ht="16.5">
      <c r="B2" s="81" t="s">
        <v>29</v>
      </c>
      <c r="C2" s="82" t="s">
        <v>36</v>
      </c>
      <c r="D2" s="78"/>
      <c r="E2" s="78"/>
    </row>
    <row r="3" spans="2:5" ht="16.5">
      <c r="B3" s="83" t="s">
        <v>3</v>
      </c>
      <c r="C3" s="84" t="s">
        <v>42</v>
      </c>
      <c r="D3" s="78"/>
      <c r="E3" s="48"/>
    </row>
    <row r="4" spans="2:5">
      <c r="B4" s="83" t="s">
        <v>6</v>
      </c>
      <c r="C4" s="84" t="s">
        <v>116</v>
      </c>
      <c r="D4" s="78"/>
    </row>
    <row r="5" spans="2:5">
      <c r="B5" s="83" t="s">
        <v>9</v>
      </c>
      <c r="C5" s="84" t="s">
        <v>117</v>
      </c>
      <c r="D5" s="78"/>
    </row>
    <row r="6" spans="2:5">
      <c r="B6" s="83" t="s">
        <v>7</v>
      </c>
      <c r="C6" s="85" t="s">
        <v>130</v>
      </c>
      <c r="D6" s="78"/>
    </row>
    <row r="7" spans="2:5">
      <c r="B7" s="83" t="s">
        <v>115</v>
      </c>
      <c r="C7" s="86" t="s">
        <v>120</v>
      </c>
      <c r="D7" s="78"/>
    </row>
    <row r="8" spans="2:5">
      <c r="B8" s="101"/>
      <c r="C8" s="85" t="s">
        <v>131</v>
      </c>
      <c r="D8" s="78"/>
    </row>
    <row r="9" spans="2:5">
      <c r="B9" s="87" t="s">
        <v>118</v>
      </c>
      <c r="C9" s="90" t="s">
        <v>40</v>
      </c>
      <c r="D9" s="78"/>
    </row>
    <row r="10" spans="2:5">
      <c r="B10" s="87" t="s">
        <v>119</v>
      </c>
      <c r="C10" s="90" t="s">
        <v>39</v>
      </c>
      <c r="D10" s="78"/>
    </row>
    <row r="11" spans="2:5">
      <c r="B11" s="87" t="s">
        <v>122</v>
      </c>
      <c r="C11" s="91" t="s">
        <v>121</v>
      </c>
      <c r="D11" s="78"/>
    </row>
    <row r="12" spans="2:5">
      <c r="B12" s="87" t="s">
        <v>123</v>
      </c>
      <c r="C12" s="90" t="s">
        <v>41</v>
      </c>
      <c r="D12" s="78"/>
    </row>
    <row r="13" spans="2:5" ht="16.5">
      <c r="B13" s="88" t="s">
        <v>30</v>
      </c>
      <c r="C13" s="92" t="s">
        <v>59</v>
      </c>
    </row>
    <row r="14" spans="2:5">
      <c r="B14" s="87" t="s">
        <v>8</v>
      </c>
      <c r="C14" s="90" t="s">
        <v>60</v>
      </c>
    </row>
    <row r="15" spans="2:5">
      <c r="B15" s="87" t="s">
        <v>4</v>
      </c>
      <c r="C15" s="90" t="s">
        <v>61</v>
      </c>
    </row>
    <row r="16" spans="2:5">
      <c r="B16" s="101"/>
      <c r="C16" s="85" t="s">
        <v>132</v>
      </c>
    </row>
    <row r="17" spans="2:3">
      <c r="B17" s="87" t="s">
        <v>11</v>
      </c>
      <c r="C17" s="90" t="s">
        <v>107</v>
      </c>
    </row>
    <row r="18" spans="2:3" ht="16.5">
      <c r="B18" s="88" t="s">
        <v>31</v>
      </c>
      <c r="C18" s="92" t="s">
        <v>43</v>
      </c>
    </row>
    <row r="19" spans="2:3">
      <c r="B19" s="87" t="s">
        <v>12</v>
      </c>
      <c r="C19" s="90" t="s">
        <v>85</v>
      </c>
    </row>
    <row r="20" spans="2:3">
      <c r="B20" s="87" t="s">
        <v>13</v>
      </c>
      <c r="C20" s="90" t="s">
        <v>86</v>
      </c>
    </row>
    <row r="21" spans="2:3">
      <c r="B21" s="87" t="s">
        <v>14</v>
      </c>
      <c r="C21" s="90" t="s">
        <v>87</v>
      </c>
    </row>
    <row r="22" spans="2:3">
      <c r="B22" s="87" t="s">
        <v>15</v>
      </c>
      <c r="C22" s="90" t="s">
        <v>88</v>
      </c>
    </row>
    <row r="23" spans="2:3">
      <c r="B23" s="87" t="s">
        <v>62</v>
      </c>
      <c r="C23" s="90" t="s">
        <v>89</v>
      </c>
    </row>
    <row r="24" spans="2:3">
      <c r="B24" s="87" t="s">
        <v>63</v>
      </c>
      <c r="C24" s="90" t="s">
        <v>90</v>
      </c>
    </row>
    <row r="25" spans="2:3" ht="16.5">
      <c r="B25" s="88" t="s">
        <v>32</v>
      </c>
      <c r="C25" s="92" t="s">
        <v>74</v>
      </c>
    </row>
    <row r="26" spans="2:3">
      <c r="B26" s="87" t="s">
        <v>16</v>
      </c>
      <c r="C26" s="90" t="s">
        <v>91</v>
      </c>
    </row>
    <row r="27" spans="2:3">
      <c r="B27" s="87" t="s">
        <v>18</v>
      </c>
      <c r="C27" s="90" t="s">
        <v>92</v>
      </c>
    </row>
    <row r="28" spans="2:3">
      <c r="B28" s="87" t="s">
        <v>19</v>
      </c>
      <c r="C28" s="90" t="s">
        <v>93</v>
      </c>
    </row>
    <row r="29" spans="2:3">
      <c r="B29" s="87" t="s">
        <v>5</v>
      </c>
      <c r="C29" s="90" t="s">
        <v>94</v>
      </c>
    </row>
    <row r="30" spans="2:3">
      <c r="B30" s="87" t="s">
        <v>17</v>
      </c>
      <c r="C30" s="90" t="s">
        <v>95</v>
      </c>
    </row>
    <row r="31" spans="2:3">
      <c r="B31" s="87" t="s">
        <v>76</v>
      </c>
      <c r="C31" s="90" t="s">
        <v>96</v>
      </c>
    </row>
    <row r="32" spans="2:3">
      <c r="B32" s="87" t="s">
        <v>77</v>
      </c>
      <c r="C32" s="90" t="s">
        <v>97</v>
      </c>
    </row>
    <row r="33" spans="2:3">
      <c r="B33" s="87" t="s">
        <v>78</v>
      </c>
      <c r="C33" s="90" t="s">
        <v>98</v>
      </c>
    </row>
    <row r="34" spans="2:3" ht="16.5">
      <c r="B34" s="88" t="s">
        <v>33</v>
      </c>
      <c r="C34" s="92" t="s">
        <v>75</v>
      </c>
    </row>
    <row r="35" spans="2:3">
      <c r="B35" s="87" t="s">
        <v>21</v>
      </c>
      <c r="C35" s="90" t="s">
        <v>99</v>
      </c>
    </row>
    <row r="36" spans="2:3">
      <c r="B36" s="87" t="s">
        <v>22</v>
      </c>
      <c r="C36" s="90" t="s">
        <v>100</v>
      </c>
    </row>
    <row r="37" spans="2:3">
      <c r="B37" s="87" t="s">
        <v>10</v>
      </c>
      <c r="C37" s="90" t="s">
        <v>101</v>
      </c>
    </row>
    <row r="38" spans="2:3">
      <c r="B38" s="87" t="s">
        <v>64</v>
      </c>
      <c r="C38" s="90" t="s">
        <v>102</v>
      </c>
    </row>
    <row r="39" spans="2:3">
      <c r="B39" s="87" t="s">
        <v>65</v>
      </c>
      <c r="C39" s="90" t="s">
        <v>103</v>
      </c>
    </row>
    <row r="40" spans="2:3">
      <c r="B40" s="87" t="s">
        <v>79</v>
      </c>
      <c r="C40" s="90" t="s">
        <v>104</v>
      </c>
    </row>
    <row r="41" spans="2:3" ht="18" customHeight="1">
      <c r="B41" s="87" t="s">
        <v>80</v>
      </c>
      <c r="C41" s="90" t="s">
        <v>105</v>
      </c>
    </row>
    <row r="42" spans="2:3">
      <c r="B42" s="87" t="s">
        <v>81</v>
      </c>
      <c r="C42" s="90" t="s">
        <v>106</v>
      </c>
    </row>
    <row r="43" spans="2:3" ht="16.5">
      <c r="B43" s="88" t="s">
        <v>66</v>
      </c>
      <c r="C43" s="92" t="s">
        <v>20</v>
      </c>
    </row>
    <row r="44" spans="2:3">
      <c r="B44" s="87" t="s">
        <v>67</v>
      </c>
      <c r="C44" s="90" t="s">
        <v>82</v>
      </c>
    </row>
    <row r="45" spans="2:3">
      <c r="B45" s="87" t="s">
        <v>124</v>
      </c>
      <c r="C45" s="93" t="s">
        <v>83</v>
      </c>
    </row>
    <row r="46" spans="2:3">
      <c r="B46" s="87" t="s">
        <v>68</v>
      </c>
      <c r="C46" s="89"/>
    </row>
    <row r="47" spans="2:3">
      <c r="B47" s="87" t="s">
        <v>125</v>
      </c>
      <c r="C47" s="85"/>
    </row>
    <row r="48" spans="2:3">
      <c r="B48" s="87" t="s">
        <v>126</v>
      </c>
      <c r="C48" s="85"/>
    </row>
    <row r="49" spans="2:3">
      <c r="B49" s="87" t="s">
        <v>127</v>
      </c>
      <c r="C49" s="85"/>
    </row>
    <row r="50" spans="2:3">
      <c r="B50" s="87" t="s">
        <v>128</v>
      </c>
      <c r="C50" s="85"/>
    </row>
    <row r="51" spans="2:3">
      <c r="B51" s="87" t="s">
        <v>129</v>
      </c>
      <c r="C51" s="86"/>
    </row>
  </sheetData>
  <phoneticPr fontId="28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M57"/>
  <sheetViews>
    <sheetView zoomScale="70" zoomScaleNormal="70" workbookViewId="0">
      <selection activeCell="H20" sqref="H20:H57"/>
      <pivotSelection pane="bottomRight" showHeader="1" axis="axisRow" dimension="1" activeRow="18" activeCol="7" previousRow="18" previousCol="7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99" t="s">
        <v>109</v>
      </c>
      <c r="C1" s="99"/>
      <c r="D1" s="99"/>
      <c r="G1" s="98" t="s">
        <v>24</v>
      </c>
      <c r="H1" s="98"/>
      <c r="I1" s="98"/>
      <c r="J1" s="98"/>
      <c r="K1" s="98"/>
      <c r="L1" s="98"/>
      <c r="M1" s="98"/>
    </row>
    <row r="2" spans="1:13" ht="21">
      <c r="B2" s="5">
        <f>Cronograma!$G$7</f>
        <v>43742</v>
      </c>
      <c r="C2" s="9">
        <f>Cronograma!$I$7</f>
        <v>43783</v>
      </c>
    </row>
    <row r="4" spans="1:13" ht="15.75">
      <c r="B4" s="96" t="s">
        <v>24</v>
      </c>
      <c r="C4" s="96"/>
      <c r="D4" s="96"/>
    </row>
    <row r="5" spans="1:13" ht="15" customHeight="1">
      <c r="B5" s="97" t="e">
        <f>Cronograma!$F$7</f>
        <v>#VALUE!</v>
      </c>
      <c r="C5" s="97"/>
      <c r="D5" s="97"/>
    </row>
    <row r="6" spans="1:13" ht="15" customHeight="1">
      <c r="B6" s="97"/>
      <c r="C6" s="97"/>
      <c r="D6" s="97"/>
    </row>
    <row r="7" spans="1:13" ht="15" customHeight="1">
      <c r="B7" s="97"/>
      <c r="C7" s="97"/>
      <c r="D7" s="97"/>
    </row>
    <row r="8" spans="1:13" ht="15" customHeight="1">
      <c r="B8" s="97"/>
      <c r="C8" s="97"/>
      <c r="D8" s="97"/>
    </row>
    <row r="9" spans="1:13" ht="26.25">
      <c r="B9" s="98" t="s">
        <v>108</v>
      </c>
      <c r="C9" s="98"/>
      <c r="D9" s="98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99" t="s">
        <v>111</v>
      </c>
      <c r="H14" s="99"/>
      <c r="I14" s="99"/>
      <c r="J14" s="99"/>
      <c r="K14" s="99"/>
      <c r="L14" s="99"/>
      <c r="M14" s="99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70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70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70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70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70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70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70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70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70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70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70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70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70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70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70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70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70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70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70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70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70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70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70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70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70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70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70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70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70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70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70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70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70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70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70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70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70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71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3"/>
  <sheetViews>
    <sheetView topLeftCell="A2" zoomScale="70" zoomScaleNormal="70" workbookViewId="0">
      <selection activeCell="A2" sqref="A2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2019-10-14T18:00:30Z</dcterms:modified>
  <cp:version/>
</cp:coreProperties>
</file>