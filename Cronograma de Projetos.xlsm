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hidePivotFieldList="1" autoCompressPictures="0"/>
  <bookViews>
    <workbookView xWindow="-120" yWindow="-120" windowWidth="20730" windowHeight="11160"/>
  </bookViews>
  <sheets>
    <sheet name="Cronograma" sheetId="1" r:id="rId1"/>
    <sheet name="Principal" sheetId="5" r:id="rId2"/>
    <sheet name="Visão Geral do Projeto" sheetId="2" r:id="rId3"/>
    <sheet name="Prazo" sheetId="4" r:id="rId4"/>
  </sheets>
  <definedNames>
    <definedName name="_CompletedAfterDeadline">_TimeFrameReal*(Cronograma!$H1&gt;0)</definedName>
    <definedName name="_xlnm._FilterDatabase" localSheetId="0" hidden="1">Cronograma!$B$7:$N$48</definedName>
    <definedName name="_fld_ProjectName">Cronograma!$B$3</definedName>
    <definedName name="_fld_StartDateReal">Cronograma!$H$8</definedName>
    <definedName name="_PercentComplete">_PercentCompleteOffDeadline*_TimeFramePlanned</definedName>
    <definedName name="_PercentCompleteOffDeadline">(Cronograma!A$7=MEDIAN(Cronograma!A$7,_fld_StartDateReal,_fld_StartDateReal+Cronograma!$E1)*(_fld_StartDateReal&gt;0))*((Cronograma!A$7&lt;(INT(_fld_StartDateReal+Cronograma!$E1*Cronograma!$F1)))+(Cronograma!A$7=_fld_StartDateReal))*(Cronograma!$F1&gt;0)</definedName>
    <definedName name="_Planned">_TimeFramePlanned*(Cronograma!$G1&gt;0)</definedName>
    <definedName name="_Real">(_TimeFrameReal*(Cronograma!$H1&gt;0))*_TimeFramePlanned</definedName>
    <definedName name="_TimeFramePlanned">Cronograma!A$7=MEDIAN(Cronograma!A$7,Cronograma!$G1,Cronograma!$G1+Cronograma!$D1-1)</definedName>
    <definedName name="_TimeFrameReal">Cronograma!A$7=MEDIAN(Cronograma!A$7,_fld_StartDateReal,_fld_StartDateReal+Cronograma!$E1-1)</definedName>
    <definedName name="_TimeFrameSelected">Cronograma!$J$3</definedName>
    <definedName name="Formula1">Cronograma!$D$1</definedName>
    <definedName name="Formula2">Cronograma!$E$1</definedName>
    <definedName name="Formula3">Cronograma!$I$1</definedName>
    <definedName name="Formula4">Cronograma!$J$1</definedName>
    <definedName name="Formula5">Cronograma!$K$1</definedName>
  </definedNames>
  <calcPr calcId="162913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5" i="1" l="1"/>
  <c r="K45" i="1"/>
  <c r="J45" i="1"/>
  <c r="I45" i="1"/>
  <c r="E31" i="1"/>
  <c r="D31" i="1"/>
  <c r="I12" i="1" l="1"/>
  <c r="J12" i="1"/>
  <c r="K12" i="1" s="1"/>
  <c r="I10" i="1" l="1"/>
  <c r="F8" i="1" l="1"/>
  <c r="I15" i="1" l="1"/>
  <c r="J15" i="1"/>
  <c r="J17" i="1" l="1"/>
  <c r="K19" i="1" l="1"/>
  <c r="J41" i="1" l="1"/>
  <c r="K41" i="1" s="1"/>
  <c r="I41" i="1"/>
  <c r="J40" i="1"/>
  <c r="K40" i="1" s="1"/>
  <c r="I40" i="1"/>
  <c r="J39" i="1"/>
  <c r="K39" i="1" s="1"/>
  <c r="I39" i="1"/>
  <c r="J33" i="1"/>
  <c r="K33" i="1" s="1"/>
  <c r="I33" i="1"/>
  <c r="J32" i="1"/>
  <c r="K32" i="1" s="1"/>
  <c r="I32" i="1"/>
  <c r="J30" i="1"/>
  <c r="K30" i="1" s="1"/>
  <c r="I30" i="1"/>
  <c r="J29" i="1"/>
  <c r="K29" i="1" s="1"/>
  <c r="I29" i="1"/>
  <c r="J28" i="1"/>
  <c r="K28" i="1" s="1"/>
  <c r="I28" i="1"/>
  <c r="J23" i="1"/>
  <c r="K23" i="1" s="1"/>
  <c r="I23" i="1"/>
  <c r="J19" i="1"/>
  <c r="J21" i="1"/>
  <c r="K21" i="1" s="1"/>
  <c r="J22" i="1"/>
  <c r="K22" i="1" s="1"/>
  <c r="J24" i="1"/>
  <c r="K24" i="1" s="1"/>
  <c r="J26" i="1"/>
  <c r="J27" i="1"/>
  <c r="K27" i="1" s="1"/>
  <c r="J34" i="1"/>
  <c r="K34" i="1" s="1"/>
  <c r="J36" i="1"/>
  <c r="K36" i="1" s="1"/>
  <c r="J37" i="1"/>
  <c r="K37" i="1" s="1"/>
  <c r="J38" i="1"/>
  <c r="K38" i="1" s="1"/>
  <c r="J42" i="1"/>
  <c r="K42" i="1" s="1"/>
  <c r="J43" i="1"/>
  <c r="K43" i="1" s="1"/>
  <c r="J46" i="1"/>
  <c r="K46" i="1" s="1"/>
  <c r="J47" i="1"/>
  <c r="K47" i="1" s="1"/>
  <c r="P7" i="1"/>
  <c r="Q7" i="1" s="1"/>
  <c r="R7" i="1" s="1"/>
  <c r="S7" i="1" s="1"/>
  <c r="T7" i="1" s="1"/>
  <c r="U7" i="1" s="1"/>
  <c r="V7" i="1" s="1"/>
  <c r="W7" i="1" s="1"/>
  <c r="X7" i="1" s="1"/>
  <c r="Y7" i="1" s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AJ7" i="1" s="1"/>
  <c r="AK7" i="1" s="1"/>
  <c r="AL7" i="1" s="1"/>
  <c r="AM7" i="1" s="1"/>
  <c r="AN7" i="1" s="1"/>
  <c r="AO7" i="1" s="1"/>
  <c r="AP7" i="1" s="1"/>
  <c r="AQ7" i="1" s="1"/>
  <c r="AR7" i="1" s="1"/>
  <c r="AS7" i="1" s="1"/>
  <c r="AT7" i="1" s="1"/>
  <c r="AU7" i="1" s="1"/>
  <c r="AV7" i="1" s="1"/>
  <c r="AW7" i="1" s="1"/>
  <c r="AX7" i="1" s="1"/>
  <c r="AY7" i="1" s="1"/>
  <c r="AZ7" i="1" s="1"/>
  <c r="BA7" i="1" s="1"/>
  <c r="BB7" i="1" s="1"/>
  <c r="BC7" i="1" s="1"/>
  <c r="BD7" i="1" s="1"/>
  <c r="BE7" i="1" s="1"/>
  <c r="BF7" i="1" s="1"/>
  <c r="BG7" i="1" s="1"/>
  <c r="BH7" i="1" s="1"/>
  <c r="BI7" i="1" s="1"/>
  <c r="BJ7" i="1" s="1"/>
  <c r="BK7" i="1" s="1"/>
  <c r="BL7" i="1" s="1"/>
  <c r="BM7" i="1" s="1"/>
  <c r="BN7" i="1" s="1"/>
  <c r="BO7" i="1" s="1"/>
  <c r="BP7" i="1" s="1"/>
  <c r="BQ7" i="1" s="1"/>
  <c r="BR7" i="1" s="1"/>
  <c r="BS7" i="1" s="1"/>
  <c r="BT7" i="1" s="1"/>
  <c r="BU7" i="1" s="1"/>
  <c r="BV7" i="1" s="1"/>
  <c r="BW7" i="1" s="1"/>
  <c r="BX7" i="1" s="1"/>
  <c r="BY7" i="1" s="1"/>
  <c r="BZ7" i="1" s="1"/>
  <c r="CA7" i="1" s="1"/>
  <c r="CB7" i="1" s="1"/>
  <c r="CC7" i="1" s="1"/>
  <c r="CD7" i="1" s="1"/>
  <c r="CE7" i="1" s="1"/>
  <c r="CF7" i="1" s="1"/>
  <c r="CG7" i="1" s="1"/>
  <c r="CH7" i="1" s="1"/>
  <c r="CI7" i="1" s="1"/>
  <c r="CJ7" i="1" s="1"/>
  <c r="CK7" i="1" s="1"/>
  <c r="CL7" i="1" s="1"/>
  <c r="CM7" i="1" s="1"/>
  <c r="CN7" i="1" s="1"/>
  <c r="CO7" i="1" s="1"/>
  <c r="CP7" i="1" s="1"/>
  <c r="CQ7" i="1" s="1"/>
  <c r="CR7" i="1" s="1"/>
  <c r="CS7" i="1" s="1"/>
  <c r="CT7" i="1" s="1"/>
  <c r="CU7" i="1" s="1"/>
  <c r="CV7" i="1" s="1"/>
  <c r="CW7" i="1" s="1"/>
  <c r="CX7" i="1" s="1"/>
  <c r="CY7" i="1" s="1"/>
  <c r="CZ7" i="1" s="1"/>
  <c r="DA7" i="1" s="1"/>
  <c r="DB7" i="1" s="1"/>
  <c r="DC7" i="1" s="1"/>
  <c r="DD7" i="1" s="1"/>
  <c r="DE7" i="1" s="1"/>
  <c r="DF7" i="1" s="1"/>
  <c r="DG7" i="1" s="1"/>
  <c r="DH7" i="1" s="1"/>
  <c r="DI7" i="1" s="1"/>
  <c r="DJ7" i="1" s="1"/>
  <c r="DK7" i="1" s="1"/>
  <c r="DL7" i="1" s="1"/>
  <c r="DM7" i="1" s="1"/>
  <c r="DN7" i="1" s="1"/>
  <c r="DO7" i="1" s="1"/>
  <c r="DP7" i="1" s="1"/>
  <c r="DQ7" i="1" s="1"/>
  <c r="DR7" i="1" s="1"/>
  <c r="DS7" i="1" s="1"/>
  <c r="DT7" i="1" s="1"/>
  <c r="DU7" i="1" s="1"/>
  <c r="DV7" i="1" s="1"/>
  <c r="DW7" i="1" s="1"/>
  <c r="DX7" i="1" s="1"/>
  <c r="DY7" i="1" s="1"/>
  <c r="DZ7" i="1" s="1"/>
  <c r="EA7" i="1" s="1"/>
  <c r="EB7" i="1" s="1"/>
  <c r="EC7" i="1" s="1"/>
  <c r="ED7" i="1" s="1"/>
  <c r="EE7" i="1" s="1"/>
  <c r="EF7" i="1" s="1"/>
  <c r="EG7" i="1" s="1"/>
  <c r="EH7" i="1" s="1"/>
  <c r="EI7" i="1" s="1"/>
  <c r="EJ7" i="1" s="1"/>
  <c r="EK7" i="1" s="1"/>
  <c r="EL7" i="1" s="1"/>
  <c r="EM7" i="1" s="1"/>
  <c r="EN7" i="1" s="1"/>
  <c r="EO7" i="1" s="1"/>
  <c r="EP7" i="1" s="1"/>
  <c r="EQ7" i="1" s="1"/>
  <c r="ER7" i="1" s="1"/>
  <c r="ES7" i="1" s="1"/>
  <c r="ET7" i="1" s="1"/>
  <c r="EU7" i="1" s="1"/>
  <c r="EV7" i="1" s="1"/>
  <c r="EW7" i="1" s="1"/>
  <c r="EX7" i="1" s="1"/>
  <c r="EY7" i="1" s="1"/>
  <c r="EZ7" i="1" s="1"/>
  <c r="FA7" i="1" s="1"/>
  <c r="FB7" i="1" s="1"/>
  <c r="FC7" i="1" s="1"/>
  <c r="FD7" i="1" s="1"/>
  <c r="FE7" i="1" s="1"/>
  <c r="FF7" i="1" s="1"/>
  <c r="FG7" i="1" s="1"/>
  <c r="FH7" i="1" s="1"/>
  <c r="FI7" i="1" s="1"/>
  <c r="FJ7" i="1" s="1"/>
  <c r="FK7" i="1" s="1"/>
  <c r="FL7" i="1" s="1"/>
  <c r="FM7" i="1" s="1"/>
  <c r="FN7" i="1" s="1"/>
  <c r="FO7" i="1" s="1"/>
  <c r="FP7" i="1" s="1"/>
  <c r="FQ7" i="1" s="1"/>
  <c r="FR7" i="1" s="1"/>
  <c r="FS7" i="1" s="1"/>
  <c r="FT7" i="1" s="1"/>
  <c r="FU7" i="1" s="1"/>
  <c r="FV7" i="1" s="1"/>
  <c r="FW7" i="1" s="1"/>
  <c r="FX7" i="1" s="1"/>
  <c r="FY7" i="1" s="1"/>
  <c r="FZ7" i="1" s="1"/>
  <c r="GA7" i="1" s="1"/>
  <c r="GB7" i="1" s="1"/>
  <c r="GC7" i="1" s="1"/>
  <c r="GD7" i="1" s="1"/>
  <c r="GE7" i="1" s="1"/>
  <c r="GF7" i="1" s="1"/>
  <c r="GG7" i="1" s="1"/>
  <c r="GH7" i="1" s="1"/>
  <c r="GI7" i="1" s="1"/>
  <c r="GJ7" i="1" s="1"/>
  <c r="GK7" i="1" s="1"/>
  <c r="GL7" i="1" s="1"/>
  <c r="GM7" i="1" s="1"/>
  <c r="GN7" i="1" s="1"/>
  <c r="GO7" i="1" s="1"/>
  <c r="GP7" i="1" s="1"/>
  <c r="GQ7" i="1" s="1"/>
  <c r="GR7" i="1" s="1"/>
  <c r="GS7" i="1" s="1"/>
  <c r="GT7" i="1" s="1"/>
  <c r="GU7" i="1" s="1"/>
  <c r="GV7" i="1" s="1"/>
  <c r="GW7" i="1" s="1"/>
  <c r="GX7" i="1" s="1"/>
  <c r="GY7" i="1" s="1"/>
  <c r="GZ7" i="1" s="1"/>
  <c r="HA7" i="1" s="1"/>
  <c r="HB7" i="1" s="1"/>
  <c r="HC7" i="1" s="1"/>
  <c r="HD7" i="1" s="1"/>
  <c r="HE7" i="1" s="1"/>
  <c r="HF7" i="1" s="1"/>
  <c r="HG7" i="1" s="1"/>
  <c r="I47" i="1"/>
  <c r="I46" i="1"/>
  <c r="I43" i="1"/>
  <c r="I42" i="1"/>
  <c r="I38" i="1"/>
  <c r="I37" i="1"/>
  <c r="I36" i="1"/>
  <c r="I34" i="1"/>
  <c r="I27" i="1"/>
  <c r="I26" i="1"/>
  <c r="I24" i="1"/>
  <c r="I22" i="1"/>
  <c r="I21" i="1"/>
  <c r="I19" i="1"/>
  <c r="I17" i="1"/>
  <c r="I16" i="1"/>
  <c r="J13" i="1"/>
  <c r="K13" i="1" s="1"/>
  <c r="J11" i="1"/>
  <c r="K11" i="1" s="1"/>
  <c r="J10" i="1"/>
  <c r="K10" i="1" s="1"/>
  <c r="I11" i="1"/>
  <c r="I13" i="1"/>
  <c r="C8" i="1"/>
  <c r="J16" i="1"/>
  <c r="K16" i="1" s="1"/>
  <c r="K17" i="1"/>
  <c r="K15" i="1"/>
  <c r="H8" i="1" l="1"/>
  <c r="D18" i="1"/>
  <c r="D9" i="1"/>
  <c r="G8" i="1"/>
  <c r="B2" i="2" s="1"/>
  <c r="E44" i="1"/>
  <c r="E35" i="1"/>
  <c r="E18" i="1"/>
  <c r="D14" i="1"/>
  <c r="D25" i="1"/>
  <c r="D35" i="1"/>
  <c r="D44" i="1"/>
  <c r="K26" i="1"/>
  <c r="E14" i="1"/>
  <c r="B5" i="2"/>
  <c r="I8" i="1" l="1"/>
  <c r="J8" i="1"/>
  <c r="E8" i="1" s="1"/>
  <c r="E9" i="1"/>
  <c r="C2" i="2" l="1"/>
  <c r="D8" i="1"/>
  <c r="K1" i="1"/>
  <c r="I1" i="1"/>
  <c r="D1" i="1"/>
  <c r="E1" i="1"/>
  <c r="J1" i="1"/>
</calcChain>
</file>

<file path=xl/sharedStrings.xml><?xml version="1.0" encoding="utf-8"?>
<sst xmlns="http://schemas.openxmlformats.org/spreadsheetml/2006/main" count="378" uniqueCount="127">
  <si>
    <t>Real</t>
  </si>
  <si>
    <t xml:space="preserve"> Destaque do período:</t>
  </si>
  <si>
    <t>Real (além do plano)</t>
  </si>
  <si>
    <t>1.1</t>
  </si>
  <si>
    <t>2.2</t>
  </si>
  <si>
    <t>4.4</t>
  </si>
  <si>
    <t>1.2</t>
  </si>
  <si>
    <t>1.4</t>
  </si>
  <si>
    <t>2.1</t>
  </si>
  <si>
    <t>1.3</t>
  </si>
  <si>
    <t>5.3</t>
  </si>
  <si>
    <t>2.3</t>
  </si>
  <si>
    <t>3.1</t>
  </si>
  <si>
    <t>3.2</t>
  </si>
  <si>
    <t>3.3</t>
  </si>
  <si>
    <t>3.4</t>
  </si>
  <si>
    <t>4.1</t>
  </si>
  <si>
    <t>4.5</t>
  </si>
  <si>
    <t>4.2</t>
  </si>
  <si>
    <t>4.3</t>
  </si>
  <si>
    <t>Encerramento</t>
  </si>
  <si>
    <t>5.1</t>
  </si>
  <si>
    <t>5.2</t>
  </si>
  <si>
    <t>Planejado</t>
  </si>
  <si>
    <t>% Concluída</t>
  </si>
  <si>
    <t>Sim</t>
  </si>
  <si>
    <t>Não</t>
  </si>
  <si>
    <t>(vazio)</t>
  </si>
  <si>
    <t>Total</t>
  </si>
  <si>
    <t>1.0</t>
  </si>
  <si>
    <t>2.0</t>
  </si>
  <si>
    <t>3.0</t>
  </si>
  <si>
    <t>4.0</t>
  </si>
  <si>
    <t>5.0</t>
  </si>
  <si>
    <t>0.0</t>
  </si>
  <si>
    <t>CMA</t>
  </si>
  <si>
    <t>Intalação</t>
  </si>
  <si>
    <t>Reposabilidade</t>
  </si>
  <si>
    <t>AA</t>
  </si>
  <si>
    <t>Instalação</t>
  </si>
  <si>
    <t>Verificação de ambiente</t>
  </si>
  <si>
    <t>Testes</t>
  </si>
  <si>
    <t>Preparação de ambiente</t>
  </si>
  <si>
    <t>Backlog</t>
  </si>
  <si>
    <t>Item</t>
  </si>
  <si>
    <t>Atividade</t>
  </si>
  <si>
    <t>Duração</t>
  </si>
  <si>
    <t>Duração Real</t>
  </si>
  <si>
    <t>% Concluído</t>
  </si>
  <si>
    <t>Início</t>
  </si>
  <si>
    <t>Início Real</t>
  </si>
  <si>
    <t>Final</t>
  </si>
  <si>
    <t>Final Real</t>
  </si>
  <si>
    <t>Status</t>
  </si>
  <si>
    <t>Marco</t>
  </si>
  <si>
    <t>Colaboradores</t>
  </si>
  <si>
    <t>Iinício do Projeto:</t>
  </si>
  <si>
    <r>
      <rPr>
        <sz val="12"/>
        <color theme="1" tint="0.24994659260841701"/>
        <rFont val="DaxlinePro-Regular"/>
        <family val="3"/>
      </rPr>
      <t>%</t>
    </r>
    <r>
      <rPr>
        <sz val="11"/>
        <color theme="1" tint="0.24994659260841701"/>
        <rFont val="DaxlinePro-Regular"/>
        <family val="3"/>
      </rPr>
      <t xml:space="preserve"> </t>
    </r>
    <r>
      <rPr>
        <sz val="12"/>
        <color theme="1" tint="0.24994659260841701"/>
        <rFont val="DaxlinePro-Regular"/>
        <family val="3"/>
      </rPr>
      <t>Concluído</t>
    </r>
  </si>
  <si>
    <r>
      <rPr>
        <sz val="12"/>
        <color theme="1" tint="0.24994659260841701"/>
        <rFont val="DaxlinePro-Regular"/>
        <family val="3"/>
      </rPr>
      <t>%</t>
    </r>
    <r>
      <rPr>
        <sz val="11"/>
        <color theme="1" tint="0.24994659260841701"/>
        <rFont val="DaxlinePro-Regular"/>
        <family val="3"/>
      </rPr>
      <t xml:space="preserve"> </t>
    </r>
    <r>
      <rPr>
        <sz val="12"/>
        <color theme="1" tint="0.24994659260841701"/>
        <rFont val="DaxlinePro-Regular"/>
        <family val="3"/>
      </rPr>
      <t>Concluído (além do plano)</t>
    </r>
  </si>
  <si>
    <t>Acessos</t>
  </si>
  <si>
    <t>Login e senha</t>
  </si>
  <si>
    <t>Teste de acessos</t>
  </si>
  <si>
    <t>3.5</t>
  </si>
  <si>
    <t>3.6</t>
  </si>
  <si>
    <t>5.4</t>
  </si>
  <si>
    <t>5.5</t>
  </si>
  <si>
    <t>6.0</t>
  </si>
  <si>
    <t>6.1</t>
  </si>
  <si>
    <t>6.3</t>
  </si>
  <si>
    <t>STF</t>
  </si>
  <si>
    <t>CMA;SFT</t>
  </si>
  <si>
    <t>(Tudo)</t>
  </si>
  <si>
    <t>Projeto CMA</t>
  </si>
  <si>
    <t>Duração (dias)</t>
  </si>
  <si>
    <t>CET</t>
  </si>
  <si>
    <t>NFSe</t>
  </si>
  <si>
    <t>4.6</t>
  </si>
  <si>
    <t>4.7</t>
  </si>
  <si>
    <t>4.8</t>
  </si>
  <si>
    <t>5.6</t>
  </si>
  <si>
    <t>5.7</t>
  </si>
  <si>
    <t>5.8</t>
  </si>
  <si>
    <t>Lições Aprendidas</t>
  </si>
  <si>
    <t>Resumo de Projeto</t>
  </si>
  <si>
    <t>SFT</t>
  </si>
  <si>
    <t>AsIs - Backlog</t>
  </si>
  <si>
    <t>Desenvolvimento - Backlog</t>
  </si>
  <si>
    <t>Teste - Backlog</t>
  </si>
  <si>
    <t>Ajuste - Backlog</t>
  </si>
  <si>
    <t>Homologação - Backlog</t>
  </si>
  <si>
    <t>Rodar - Backlog</t>
  </si>
  <si>
    <t>AsIs - CET</t>
  </si>
  <si>
    <t>ToBe - CET</t>
  </si>
  <si>
    <t>Documentação - CET</t>
  </si>
  <si>
    <t>Kick Off - CET</t>
  </si>
  <si>
    <t>Desenvolvimento - CET</t>
  </si>
  <si>
    <t>Teste - CET</t>
  </si>
  <si>
    <t>Homologação - CET</t>
  </si>
  <si>
    <t>Produção - CET</t>
  </si>
  <si>
    <t>AsIs - NFSe</t>
  </si>
  <si>
    <t>ToBe - NFSe</t>
  </si>
  <si>
    <t>Documentação - NFSe</t>
  </si>
  <si>
    <t>Kick Off NFSe - NFSe</t>
  </si>
  <si>
    <t>Desenvolvimento - NFSe</t>
  </si>
  <si>
    <t>Teste - NFSe</t>
  </si>
  <si>
    <t>Homologação - NFSe</t>
  </si>
  <si>
    <t>Produção NFSe - NFSe</t>
  </si>
  <si>
    <t>Realinhamento</t>
  </si>
  <si>
    <t>MARCOS A VENCER</t>
  </si>
  <si>
    <t>VISÃO GERAL DO PROJETO</t>
  </si>
  <si>
    <t>Duração Real (dias)</t>
  </si>
  <si>
    <t>TAREFAS POR STATUS</t>
  </si>
  <si>
    <t>Início Programado</t>
  </si>
  <si>
    <t>Final Programado</t>
  </si>
  <si>
    <t>Duração Programado</t>
  </si>
  <si>
    <t>6.2</t>
  </si>
  <si>
    <t>a</t>
  </si>
  <si>
    <t>aaaaa</t>
  </si>
  <si>
    <t>7.0</t>
  </si>
  <si>
    <t>6.4</t>
  </si>
  <si>
    <t>6.5</t>
  </si>
  <si>
    <t>6.6</t>
  </si>
  <si>
    <t>6.7</t>
  </si>
  <si>
    <t>6.8</t>
  </si>
  <si>
    <t>7.1</t>
  </si>
  <si>
    <t>7.2</t>
  </si>
  <si>
    <t>7.3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</si>
</sst>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\-\ ddd"/>
  </numFmts>
  <fonts count="37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6"/>
      <color theme="0" tint="-0.249977111117893"/>
      <name val="Calibri"/>
      <family val="2"/>
      <scheme val="minor"/>
    </font>
    <font>
      <sz val="12"/>
      <color theme="0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 tint="0.2499465926084170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theme="1" tint="0.24994659260841701"/>
      <name val="DaxlinePro-Regular"/>
      <family val="3"/>
    </font>
    <font>
      <b/>
      <sz val="13"/>
      <color theme="1" tint="0.24994659260841701"/>
      <name val="DaxlinePro-Regular"/>
      <family val="3"/>
    </font>
    <font>
      <b/>
      <sz val="13"/>
      <color theme="7"/>
      <name val="DaxlinePro-Regular"/>
      <family val="3"/>
    </font>
    <font>
      <b/>
      <sz val="40"/>
      <color rgb="FF00407E"/>
      <name val="DaxlinePro-Regular"/>
      <family val="3"/>
    </font>
    <font>
      <b/>
      <sz val="11"/>
      <color theme="1" tint="0.24994659260841701"/>
      <name val="DaxlinePro-Regular"/>
      <family val="3"/>
    </font>
    <font>
      <sz val="12"/>
      <color theme="1" tint="0.24994659260841701"/>
      <name val="DaxlinePro-Regular"/>
      <family val="3"/>
    </font>
    <font>
      <sz val="11"/>
      <color rgb="FF00407E"/>
      <name val="DaxlinePro-Regular"/>
      <family val="3"/>
    </font>
    <font>
      <b/>
      <sz val="10"/>
      <color theme="1" tint="0.499984740745262"/>
      <name val="DaxlinePro-Regular"/>
      <family val="3"/>
    </font>
    <font>
      <b/>
      <sz val="9.5"/>
      <color theme="1" tint="0.499984740745262"/>
      <name val="DaxlinePro-Regular"/>
      <family val="3"/>
    </font>
    <font>
      <b/>
      <sz val="12"/>
      <color rgb="FF004080"/>
      <name val="DaxlinePro-Regular"/>
      <family val="3"/>
    </font>
    <font>
      <b/>
      <sz val="12"/>
      <color theme="1" tint="0.24994659260841701"/>
      <name val="DaxlinePro-Regular"/>
      <family val="3"/>
    </font>
    <font>
      <b/>
      <sz val="12"/>
      <name val="DaxlinePro-Regular"/>
      <family val="3"/>
    </font>
    <font>
      <sz val="10"/>
      <color theme="1" tint="0.24994659260841701"/>
      <name val="DaxlinePro-Regular"/>
      <family val="3"/>
    </font>
    <font>
      <sz val="10"/>
      <name val="DaxlinePro-Regular"/>
      <family val="3"/>
    </font>
    <font>
      <sz val="8"/>
      <name val="Corbel"/>
      <family val="2"/>
      <scheme val="major"/>
    </font>
    <font>
      <b/>
      <sz val="20"/>
      <color theme="7"/>
      <name val="Corbel"/>
      <family val="2"/>
      <scheme val="major"/>
    </font>
    <font>
      <b/>
      <sz val="10"/>
      <name val="DaxlinePro-Regular"/>
      <family val="3"/>
    </font>
    <font>
      <sz val="10"/>
      <name val="DaxlinePro-Regular"/>
    </font>
    <font>
      <sz val="10"/>
      <color theme="1" tint="0.24994659260841701"/>
      <name val="DaxlinePro-Regular"/>
    </font>
    <font>
      <b/>
      <sz val="12"/>
      <color theme="1" tint="0.24994659260841701"/>
      <name val="DaxlinePro-Regular"/>
    </font>
    <font>
      <sz val="16"/>
      <color rgb="FF404040"/>
      <name val="Corbel"/>
      <family val="2"/>
    </font>
    <font>
      <sz val="11"/>
      <color rgb="FF404040"/>
      <name val="Corbel"/>
      <family val="2"/>
    </font>
    <font>
      <b/>
      <sz val="12"/>
      <name val="DaxlinePro-Regular"/>
    </font>
  </fonts>
  <fills count="12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lightUp">
        <fgColor rgb="FF00407E"/>
      </patternFill>
    </fill>
    <fill>
      <patternFill patternType="lightUp">
        <fgColor rgb="FF004080"/>
        <bgColor theme="7" tint="0.59996337778862885"/>
      </patternFill>
    </fill>
    <fill>
      <patternFill patternType="solid">
        <fgColor theme="4" tint="0.79998168889431442"/>
        <bgColor indexed="64"/>
      </patternFill>
    </fill>
    <fill>
      <patternFill patternType="lightUp">
        <fgColor rgb="FFC00000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rgb="FF004080"/>
      </top>
      <bottom style="thin">
        <color rgb="FF004080"/>
      </bottom>
      <diagonal/>
    </border>
    <border>
      <left/>
      <right/>
      <top/>
      <bottom style="thin">
        <color rgb="FF004080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/>
      <bottom style="thin">
        <color rgb="FF00407E"/>
      </bottom>
      <diagonal/>
    </border>
  </borders>
  <cellStyleXfs count="9">
    <xf numFmtId="0" fontId="0" fillId="0" borderId="0" applyNumberFormat="0" applyFill="0" applyBorder="0" applyProtection="0">
      <alignment vertical="center"/>
    </xf>
    <xf numFmtId="0" fontId="5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6" fillId="0" borderId="3" applyFill="0" applyProtection="0">
      <alignment horizontal="center"/>
    </xf>
    <xf numFmtId="0" fontId="6" fillId="0" borderId="0" applyFill="0" applyBorder="0" applyProtection="0">
      <alignment horizontal="center"/>
    </xf>
    <xf numFmtId="0" fontId="2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7" fillId="2" borderId="1" applyNumberFormat="0" applyProtection="0">
      <alignment horizontal="left" vertical="center"/>
    </xf>
    <xf numFmtId="0" fontId="1" fillId="0" borderId="0"/>
  </cellStyleXfs>
  <cellXfs count="113">
    <xf numFmtId="0" fontId="0" fillId="0" borderId="0" xfId="0">
      <alignment vertical="center"/>
    </xf>
    <xf numFmtId="0" fontId="0" fillId="7" borderId="0" xfId="0" applyFill="1">
      <alignment vertical="center"/>
    </xf>
    <xf numFmtId="0" fontId="0" fillId="7" borderId="6" xfId="0" applyFill="1" applyBorder="1">
      <alignment vertical="center"/>
    </xf>
    <xf numFmtId="0" fontId="0" fillId="7" borderId="7" xfId="0" applyFill="1" applyBorder="1">
      <alignment vertical="center"/>
    </xf>
    <xf numFmtId="0" fontId="0" fillId="7" borderId="8" xfId="0" applyFill="1" applyBorder="1">
      <alignment vertical="center"/>
    </xf>
    <xf numFmtId="14" fontId="8" fillId="7" borderId="0" xfId="0" applyNumberFormat="1" applyFont="1" applyFill="1" applyAlignment="1">
      <alignment horizontal="right" vertical="center"/>
    </xf>
    <xf numFmtId="0" fontId="0" fillId="0" borderId="0" xfId="0" pivotButton="1" applyBorder="1">
      <alignment vertical="center"/>
    </xf>
    <xf numFmtId="0" fontId="0" fillId="7" borderId="0" xfId="0" applyFill="1" applyBorder="1">
      <alignment vertical="center"/>
    </xf>
    <xf numFmtId="0" fontId="0" fillId="0" borderId="0" xfId="0" applyBorder="1">
      <alignment vertical="center"/>
    </xf>
    <xf numFmtId="14" fontId="8" fillId="7" borderId="0" xfId="0" applyNumberFormat="1" applyFont="1" applyFill="1" applyAlignment="1">
      <alignment horizontal="left" vertical="center"/>
    </xf>
    <xf numFmtId="0" fontId="12" fillId="7" borderId="0" xfId="0" applyFont="1" applyFill="1">
      <alignment vertical="center"/>
    </xf>
    <xf numFmtId="0" fontId="12" fillId="7" borderId="0" xfId="0" applyFont="1" applyFill="1" applyBorder="1">
      <alignment vertical="center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0" fontId="0" fillId="0" borderId="12" xfId="0" pivotButton="1" applyBorder="1">
      <alignment vertical="center"/>
    </xf>
    <xf numFmtId="0" fontId="13" fillId="0" borderId="10" xfId="0" applyNumberFormat="1" applyFont="1" applyBorder="1">
      <alignment vertical="center"/>
    </xf>
    <xf numFmtId="0" fontId="13" fillId="0" borderId="11" xfId="0" applyNumberFormat="1" applyFont="1" applyBorder="1">
      <alignment vertical="center"/>
    </xf>
    <xf numFmtId="0" fontId="13" fillId="0" borderId="12" xfId="0" applyNumberFormat="1" applyFont="1" applyBorder="1">
      <alignment vertical="center"/>
    </xf>
    <xf numFmtId="0" fontId="0" fillId="0" borderId="14" xfId="0" pivotButton="1" applyBorder="1">
      <alignment vertical="center"/>
    </xf>
    <xf numFmtId="14" fontId="0" fillId="0" borderId="0" xfId="0" applyNumberFormat="1" applyBorder="1">
      <alignment vertical="center"/>
    </xf>
    <xf numFmtId="9" fontId="0" fillId="0" borderId="0" xfId="0" applyNumberFormat="1" applyBorder="1">
      <alignment vertical="center"/>
    </xf>
    <xf numFmtId="0" fontId="0" fillId="0" borderId="15" xfId="0" applyBorder="1">
      <alignment vertical="center"/>
    </xf>
    <xf numFmtId="14" fontId="0" fillId="0" borderId="15" xfId="0" applyNumberFormat="1" applyBorder="1">
      <alignment vertical="center"/>
    </xf>
    <xf numFmtId="9" fontId="0" fillId="0" borderId="15" xfId="0" applyNumberFormat="1" applyBorder="1">
      <alignment vertical="center"/>
    </xf>
    <xf numFmtId="0" fontId="11" fillId="9" borderId="13" xfId="0" applyFont="1" applyFill="1" applyBorder="1" applyAlignment="1">
      <alignment vertical="center" wrapText="1"/>
    </xf>
    <xf numFmtId="0" fontId="0" fillId="0" borderId="6" xfId="0" applyBorder="1">
      <alignment vertical="center"/>
    </xf>
    <xf numFmtId="0" fontId="13" fillId="7" borderId="9" xfId="0" applyNumberFormat="1" applyFont="1" applyFill="1" applyBorder="1">
      <alignment vertical="center"/>
    </xf>
    <xf numFmtId="0" fontId="14" fillId="0" borderId="0" xfId="0" applyFont="1" applyProtection="1">
      <alignment vertical="center"/>
    </xf>
    <xf numFmtId="0" fontId="15" fillId="0" borderId="0" xfId="2" applyFont="1" applyProtection="1">
      <alignment horizontal="left"/>
    </xf>
    <xf numFmtId="0" fontId="14" fillId="0" borderId="0" xfId="0" applyFont="1" applyAlignment="1" applyProtection="1">
      <alignment horizontal="center"/>
    </xf>
    <xf numFmtId="9" fontId="16" fillId="0" borderId="0" xfId="6" applyFont="1" applyProtection="1">
      <alignment horizontal="center" vertical="center"/>
    </xf>
    <xf numFmtId="1" fontId="19" fillId="5" borderId="4" xfId="7" applyNumberFormat="1" applyFont="1" applyFill="1" applyBorder="1" applyAlignment="1" applyProtection="1">
      <alignment horizontal="center" vertical="center"/>
      <protection locked="0"/>
    </xf>
    <xf numFmtId="1" fontId="19" fillId="7" borderId="0" xfId="7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3" borderId="2" xfId="0" applyFont="1" applyFill="1" applyBorder="1" applyAlignment="1" applyProtection="1">
      <alignment horizontal="center"/>
    </xf>
    <xf numFmtId="0" fontId="19" fillId="0" borderId="0" xfId="5" applyFont="1" applyProtection="1">
      <alignment horizontal="left" vertical="center"/>
    </xf>
    <xf numFmtId="0" fontId="14" fillId="4" borderId="2" xfId="0" applyFont="1" applyFill="1" applyBorder="1" applyAlignment="1" applyProtection="1">
      <alignment horizontal="center"/>
    </xf>
    <xf numFmtId="0" fontId="14" fillId="0" borderId="0" xfId="5" applyFont="1" applyProtection="1">
      <alignment horizontal="left" vertical="center"/>
    </xf>
    <xf numFmtId="0" fontId="14" fillId="0" borderId="0" xfId="0" applyFont="1" applyProtection="1">
      <alignment vertical="center"/>
      <protection locked="0"/>
    </xf>
    <xf numFmtId="14" fontId="18" fillId="7" borderId="4" xfId="7" applyNumberFormat="1" applyFont="1" applyFill="1" applyBorder="1" applyAlignment="1" applyProtection="1">
      <alignment horizontal="center" vertical="center"/>
      <protection locked="0"/>
    </xf>
    <xf numFmtId="14" fontId="18" fillId="7" borderId="0" xfId="7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 applyProtection="1">
      <alignment horizontal="center"/>
    </xf>
    <xf numFmtId="0" fontId="17" fillId="0" borderId="0" xfId="1" applyFont="1" applyAlignment="1" applyProtection="1">
      <protection locked="0"/>
    </xf>
    <xf numFmtId="0" fontId="17" fillId="0" borderId="0" xfId="1" applyFont="1" applyAlignment="1" applyProtection="1">
      <alignment horizontal="center"/>
      <protection locked="0"/>
    </xf>
    <xf numFmtId="3" fontId="22" fillId="0" borderId="5" xfId="3" applyFont="1" applyBorder="1" applyProtection="1">
      <alignment horizontal="center"/>
    </xf>
    <xf numFmtId="0" fontId="23" fillId="0" borderId="0" xfId="2" applyFont="1" applyAlignment="1" applyProtection="1">
      <alignment horizontal="left" vertical="center" wrapText="1"/>
    </xf>
    <xf numFmtId="0" fontId="23" fillId="0" borderId="0" xfId="2" applyFont="1" applyAlignment="1" applyProtection="1">
      <alignment horizontal="center" vertical="center" wrapText="1"/>
    </xf>
    <xf numFmtId="9" fontId="23" fillId="0" borderId="0" xfId="6" applyFont="1" applyAlignment="1" applyProtection="1">
      <alignment horizontal="center" vertical="center"/>
    </xf>
    <xf numFmtId="14" fontId="23" fillId="0" borderId="0" xfId="0" applyNumberFormat="1" applyFont="1" applyAlignment="1" applyProtection="1">
      <alignment horizontal="center" vertical="center"/>
    </xf>
    <xf numFmtId="14" fontId="23" fillId="0" borderId="0" xfId="0" applyNumberFormat="1" applyFont="1" applyAlignment="1" applyProtection="1">
      <alignment horizontal="left" vertical="center"/>
    </xf>
    <xf numFmtId="3" fontId="22" fillId="0" borderId="0" xfId="3" applyFont="1" applyBorder="1" applyProtection="1">
      <alignment horizontal="center"/>
    </xf>
    <xf numFmtId="0" fontId="18" fillId="0" borderId="0" xfId="0" applyFont="1" applyAlignment="1" applyProtection="1">
      <alignment horizontal="center"/>
    </xf>
    <xf numFmtId="0" fontId="24" fillId="0" borderId="0" xfId="0" applyNumberFormat="1" applyFont="1" applyAlignment="1" applyProtection="1">
      <alignment horizontal="center" vertical="center"/>
    </xf>
    <xf numFmtId="9" fontId="25" fillId="0" borderId="0" xfId="6" applyFont="1" applyAlignment="1" applyProtection="1">
      <alignment horizontal="center" vertical="center"/>
    </xf>
    <xf numFmtId="14" fontId="24" fillId="0" borderId="0" xfId="0" applyNumberFormat="1" applyFont="1" applyAlignment="1" applyProtection="1">
      <alignment horizontal="center" vertical="center"/>
    </xf>
    <xf numFmtId="14" fontId="24" fillId="0" borderId="0" xfId="0" applyNumberFormat="1" applyFont="1" applyAlignment="1" applyProtection="1">
      <alignment horizontal="left" vertical="center"/>
    </xf>
    <xf numFmtId="0" fontId="26" fillId="0" borderId="0" xfId="0" applyFont="1" applyAlignment="1" applyProtection="1">
      <alignment horizontal="center" vertical="center"/>
      <protection locked="0"/>
    </xf>
    <xf numFmtId="9" fontId="27" fillId="0" borderId="0" xfId="6" applyFont="1" applyAlignment="1" applyProtection="1">
      <alignment horizontal="center" vertical="center"/>
      <protection locked="0"/>
    </xf>
    <xf numFmtId="14" fontId="26" fillId="0" borderId="0" xfId="0" applyNumberFormat="1" applyFont="1" applyAlignment="1" applyProtection="1">
      <alignment horizontal="center" vertical="center"/>
      <protection locked="0"/>
    </xf>
    <xf numFmtId="14" fontId="26" fillId="0" borderId="0" xfId="0" applyNumberFormat="1" applyFont="1" applyAlignment="1" applyProtection="1">
      <alignment horizontal="left" vertical="center"/>
      <protection locked="0"/>
    </xf>
    <xf numFmtId="14" fontId="26" fillId="0" borderId="0" xfId="0" applyNumberFormat="1" applyFont="1" applyAlignment="1" applyProtection="1">
      <alignment horizontal="center" vertical="center"/>
    </xf>
    <xf numFmtId="0" fontId="15" fillId="0" borderId="0" xfId="2" applyFont="1" applyProtection="1">
      <alignment horizontal="left"/>
      <protection locked="0"/>
    </xf>
    <xf numFmtId="9" fontId="16" fillId="0" borderId="0" xfId="6" applyFont="1" applyProtection="1">
      <alignment horizontal="center" vertical="center"/>
      <protection locked="0"/>
    </xf>
    <xf numFmtId="0" fontId="21" fillId="0" borderId="5" xfId="3" applyNumberFormat="1" applyFont="1" applyBorder="1" applyAlignment="1" applyProtection="1">
      <alignment horizontal="center" vertical="center" wrapText="1"/>
    </xf>
    <xf numFmtId="164" fontId="22" fillId="0" borderId="5" xfId="3" applyNumberFormat="1" applyFont="1" applyBorder="1" applyAlignment="1" applyProtection="1">
      <alignment horizontal="center" textRotation="90"/>
    </xf>
    <xf numFmtId="164" fontId="22" fillId="7" borderId="5" xfId="3" applyNumberFormat="1" applyFont="1" applyFill="1" applyBorder="1" applyAlignment="1" applyProtection="1">
      <alignment horizontal="center" textRotation="90"/>
    </xf>
    <xf numFmtId="0" fontId="0" fillId="0" borderId="14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20" fillId="10" borderId="2" xfId="0" applyFont="1" applyFill="1" applyBorder="1" applyAlignment="1" applyProtection="1">
      <alignment horizontal="center"/>
    </xf>
    <xf numFmtId="0" fontId="14" fillId="11" borderId="2" xfId="0" applyFont="1" applyFill="1" applyBorder="1" applyAlignment="1" applyProtection="1">
      <alignment horizontal="center"/>
    </xf>
    <xf numFmtId="0" fontId="25" fillId="7" borderId="0" xfId="2" applyNumberFormat="1" applyFont="1" applyFill="1" applyBorder="1" applyAlignment="1">
      <alignment horizontal="left" vertical="center"/>
    </xf>
    <xf numFmtId="0" fontId="27" fillId="7" borderId="0" xfId="2" applyNumberFormat="1" applyFont="1" applyFill="1" applyBorder="1" applyAlignment="1">
      <alignment horizontal="left" vertical="center"/>
    </xf>
    <xf numFmtId="0" fontId="21" fillId="0" borderId="0" xfId="3" applyNumberFormat="1" applyFont="1" applyBorder="1" applyAlignment="1" applyProtection="1">
      <alignment horizontal="left"/>
    </xf>
    <xf numFmtId="0" fontId="30" fillId="7" borderId="17" xfId="3" applyNumberFormat="1" applyFont="1" applyFill="1" applyBorder="1" applyAlignment="1" applyProtection="1">
      <alignment horizontal="left"/>
    </xf>
    <xf numFmtId="0" fontId="25" fillId="7" borderId="16" xfId="2" applyFont="1" applyFill="1" applyBorder="1" applyAlignment="1" applyProtection="1">
      <alignment horizontal="left" vertical="center"/>
    </xf>
    <xf numFmtId="0" fontId="27" fillId="7" borderId="16" xfId="2" applyFont="1" applyFill="1" applyBorder="1" applyAlignment="1" applyProtection="1">
      <alignment horizontal="left" vertical="center"/>
      <protection locked="0"/>
    </xf>
    <xf numFmtId="0" fontId="27" fillId="7" borderId="18" xfId="2" applyFont="1" applyFill="1" applyBorder="1" applyAlignment="1" applyProtection="1">
      <alignment horizontal="left" vertical="center"/>
      <protection locked="0"/>
    </xf>
    <xf numFmtId="0" fontId="25" fillId="7" borderId="18" xfId="2" applyFont="1" applyFill="1" applyBorder="1" applyAlignment="1" applyProtection="1">
      <alignment horizontal="left" vertical="center"/>
    </xf>
    <xf numFmtId="0" fontId="27" fillId="7" borderId="18" xfId="2" applyFont="1" applyFill="1" applyBorder="1" applyAlignment="1" applyProtection="1">
      <alignment horizontal="left" vertical="center" wrapText="1"/>
      <protection locked="0"/>
    </xf>
    <xf numFmtId="14" fontId="14" fillId="0" borderId="0" xfId="0" applyNumberFormat="1" applyFont="1" applyAlignment="1" applyProtection="1">
      <alignment horizontal="center"/>
      <protection locked="0"/>
    </xf>
    <xf numFmtId="0" fontId="23" fillId="0" borderId="0" xfId="2" applyFont="1" applyBorder="1" applyAlignment="1" applyProtection="1">
      <alignment horizontal="left" vertical="center" wrapText="1"/>
    </xf>
    <xf numFmtId="0" fontId="27" fillId="7" borderId="19" xfId="2" applyNumberFormat="1" applyFont="1" applyFill="1" applyBorder="1" applyAlignment="1">
      <alignment horizontal="left" vertical="center" wrapText="1"/>
    </xf>
    <xf numFmtId="0" fontId="21" fillId="0" borderId="20" xfId="3" applyNumberFormat="1" applyFont="1" applyBorder="1" applyAlignment="1" applyProtection="1">
      <alignment horizontal="left"/>
    </xf>
    <xf numFmtId="0" fontId="31" fillId="7" borderId="0" xfId="2" applyNumberFormat="1" applyFont="1" applyFill="1" applyBorder="1" applyAlignment="1">
      <alignment horizontal="left" vertical="center"/>
    </xf>
    <xf numFmtId="49" fontId="14" fillId="0" borderId="0" xfId="0" applyNumberFormat="1" applyFont="1" applyProtection="1">
      <alignment vertical="center"/>
      <protection locked="0"/>
    </xf>
    <xf numFmtId="49" fontId="14" fillId="0" borderId="0" xfId="0" applyNumberFormat="1" applyFont="1" applyProtection="1">
      <alignment vertical="center"/>
    </xf>
    <xf numFmtId="49" fontId="21" fillId="0" borderId="5" xfId="3" applyNumberFormat="1" applyFont="1" applyBorder="1" applyAlignment="1" applyProtection="1">
      <alignment horizontal="center" wrapText="1"/>
    </xf>
    <xf numFmtId="49" fontId="23" fillId="0" borderId="0" xfId="0" applyNumberFormat="1" applyFont="1" applyAlignment="1" applyProtection="1">
      <alignment horizontal="center" vertical="center"/>
    </xf>
    <xf numFmtId="49" fontId="33" fillId="0" borderId="0" xfId="0" applyNumberFormat="1" applyFont="1" applyAlignment="1" applyProtection="1">
      <alignment horizontal="center" vertical="center"/>
    </xf>
    <xf numFmtId="49" fontId="32" fillId="0" borderId="0" xfId="0" applyNumberFormat="1" applyFont="1" applyAlignment="1" applyProtection="1">
      <alignment horizontal="center" vertical="center"/>
    </xf>
    <xf numFmtId="49" fontId="15" fillId="0" borderId="0" xfId="2" applyNumberFormat="1" applyFont="1" applyProtection="1">
      <alignment horizontal="left"/>
    </xf>
    <xf numFmtId="0" fontId="17" fillId="0" borderId="0" xfId="1" applyFont="1" applyAlignment="1" applyProtection="1">
      <alignment horizontal="center"/>
      <protection locked="0"/>
    </xf>
    <xf numFmtId="0" fontId="18" fillId="5" borderId="4" xfId="7" applyFont="1" applyFill="1" applyBorder="1" applyAlignment="1" applyProtection="1">
      <alignment horizontal="right" vertical="center"/>
    </xf>
    <xf numFmtId="0" fontId="9" fillId="8" borderId="0" xfId="0" applyFont="1" applyFill="1" applyAlignment="1">
      <alignment horizontal="left" vertical="center" indent="1"/>
    </xf>
    <xf numFmtId="9" fontId="10" fillId="8" borderId="0" xfId="0" applyNumberFormat="1" applyFont="1" applyFill="1" applyAlignment="1">
      <alignment horizontal="left" vertical="center"/>
    </xf>
    <xf numFmtId="0" fontId="29" fillId="7" borderId="0" xfId="1" applyFont="1" applyFill="1" applyAlignment="1">
      <alignment horizontal="center"/>
    </xf>
    <xf numFmtId="0" fontId="29" fillId="7" borderId="0" xfId="1" applyFont="1" applyFill="1" applyAlignment="1">
      <alignment horizontal="center" vertical="center"/>
    </xf>
    <xf numFmtId="0" fontId="31" fillId="7" borderId="16" xfId="2" applyFont="1" applyFill="1" applyBorder="1" applyAlignment="1" applyProtection="1">
      <alignment horizontal="left" vertical="center"/>
      <protection locked="0"/>
    </xf>
    <xf numFmtId="14" fontId="32" fillId="0" borderId="0" xfId="0" applyNumberFormat="1" applyFont="1" applyAlignment="1" applyProtection="1">
      <alignment horizontal="center" vertical="center"/>
    </xf>
    <xf numFmtId="0" fontId="32" fillId="0" borderId="0" xfId="0" applyFont="1" applyProtection="1">
      <alignment vertical="center"/>
    </xf>
    <xf numFmtId="0" fontId="32" fillId="0" borderId="0" xfId="0" applyNumberFormat="1" applyFont="1" applyAlignment="1" applyProtection="1">
      <alignment horizontal="center" vertical="center"/>
    </xf>
    <xf numFmtId="9" fontId="31" fillId="0" borderId="0" xfId="6" applyFont="1" applyAlignment="1" applyProtection="1">
      <alignment horizontal="center" vertical="center"/>
    </xf>
    <xf numFmtId="14" fontId="32" fillId="0" borderId="0" xfId="0" applyNumberFormat="1" applyFont="1" applyAlignment="1" applyProtection="1">
      <alignment horizontal="left" vertical="center"/>
    </xf>
    <xf numFmtId="0" fontId="32" fillId="0" borderId="0" xfId="0" applyFont="1" applyAlignment="1" applyProtection="1">
      <alignment horizontal="center"/>
    </xf>
    <xf numFmtId="0" fontId="36" fillId="7" borderId="16" xfId="2" applyFont="1" applyFill="1" applyBorder="1" applyAlignment="1" applyProtection="1">
      <alignment horizontal="left" vertical="center"/>
      <protection locked="0"/>
    </xf>
    <xf numFmtId="0" fontId="33" fillId="0" borderId="0" xfId="0" applyFont="1" applyProtection="1">
      <alignment vertical="center"/>
      <protection locked="0"/>
    </xf>
    <xf numFmtId="0" fontId="33" fillId="0" borderId="0" xfId="0" applyFont="1" applyAlignment="1" applyProtection="1">
      <alignment horizontal="center" vertical="center"/>
      <protection locked="0"/>
    </xf>
    <xf numFmtId="9" fontId="36" fillId="0" borderId="0" xfId="6" applyFont="1" applyAlignment="1" applyProtection="1">
      <alignment horizontal="center" vertical="center"/>
      <protection locked="0"/>
    </xf>
    <xf numFmtId="14" fontId="33" fillId="0" borderId="0" xfId="0" applyNumberFormat="1" applyFont="1" applyAlignment="1" applyProtection="1">
      <alignment horizontal="center" vertical="center"/>
      <protection locked="0"/>
    </xf>
    <xf numFmtId="14" fontId="33" fillId="0" borderId="0" xfId="0" applyNumberFormat="1" applyFont="1" applyAlignment="1" applyProtection="1">
      <alignment horizontal="left" vertical="center"/>
      <protection locked="0"/>
    </xf>
    <xf numFmtId="0" fontId="33" fillId="0" borderId="0" xfId="0" applyFont="1" applyAlignment="1" applyProtection="1">
      <alignment horizontal="center"/>
    </xf>
    <xf numFmtId="0" fontId="33" fillId="0" borderId="0" xfId="0" applyFont="1" applyProtection="1">
      <alignment vertical="center"/>
    </xf>
    <xf numFmtId="0" fontId="36" fillId="7" borderId="0" xfId="2" applyNumberFormat="1" applyFont="1" applyFill="1" applyBorder="1" applyAlignment="1">
      <alignment horizontal="left" vertical="center"/>
    </xf>
  </cellXfs>
  <cellStyles count="9">
    <cellStyle name="Activity" xfId="2"/>
    <cellStyle name="Label" xfId="5"/>
    <cellStyle name="Normal" xfId="0" builtinId="0" customBuiltin="1"/>
    <cellStyle name="Normal 2" xfId="8"/>
    <cellStyle name="Percent Complete" xfId="6"/>
    <cellStyle name="Period Headers" xfId="3"/>
    <cellStyle name="Period Highlight Control" xfId="7"/>
    <cellStyle name="Project Headers" xfId="4"/>
    <cellStyle name="Título 1" xfId="1" builtinId="16" customBuiltin="1"/>
  </cellStyles>
  <dxfs count="76">
    <dxf>
      <fill>
        <patternFill patternType="solid">
          <fgColor auto="1"/>
          <bgColor rgb="FFFF0000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00B0F0"/>
        </patternFill>
      </fill>
      <border>
        <bottom style="thin">
          <color theme="0"/>
        </bottom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border>
        <top style="thin">
          <color theme="7"/>
        </top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border>
        <top style="thin">
          <color theme="7"/>
        </top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border>
        <top style="thin">
          <color theme="7"/>
        </top>
        <vertical/>
        <horizontal/>
      </border>
    </dxf>
    <dxf>
      <alignment horizontal="right"/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font>
        <b/>
        <sz val="9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wrapText="1" readingOrder="0"/>
    </dxf>
    <dxf>
      <font>
        <color theme="1" tint="0.249977111117893"/>
      </font>
    </dxf>
    <dxf>
      <font>
        <name val="Calibri"/>
        <scheme val="minor"/>
      </font>
    </dxf>
    <dxf>
      <border>
        <left style="thin">
          <color theme="0" tint="-0.499984740745262"/>
        </left>
        <right style="thin">
          <color theme="0" tint="-0.499984740745262"/>
        </right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border>
        <right style="thin">
          <color theme="0" tint="-0.499984740745262"/>
        </right>
        <top style="thin">
          <color theme="0" tint="-0.499984740745262"/>
        </top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color theme="1" tint="0.249977111117893"/>
      </font>
    </dxf>
    <dxf>
      <font>
        <name val="Calibri"/>
        <scheme val="minor"/>
      </font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>
        <top style="thin">
          <color theme="0" tint="-0.34998626667073579"/>
        </top>
      </border>
    </dxf>
    <dxf>
      <border>
        <right style="thin">
          <color theme="0" tint="-0.34998626667073579"/>
        </right>
      </border>
    </dxf>
    <dxf>
      <border>
        <right style="thin">
          <color theme="0" tint="-0.34998626667073579"/>
        </right>
      </border>
    </dxf>
    <dxf>
      <font>
        <b/>
      </font>
    </dxf>
    <dxf>
      <font>
        <name val="Calibri"/>
        <scheme val="minor"/>
      </font>
    </dxf>
    <dxf>
      <font>
        <color theme="0"/>
      </font>
    </dxf>
    <dxf>
      <fill>
        <patternFill patternType="solid"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numFmt numFmtId="165" formatCode="ge\r\a\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colors>
    <mruColors>
      <color rgb="FF00407E"/>
      <color rgb="FF004080"/>
      <color rgb="FFFFFFFF"/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(Cronograma!$C$9,Cronograma!$C$14,Cronograma!$C$21,Cronograma!$C$26,Cronograma!$C$33,Cronograma!$C$37:$C$47)</c:f>
              <c:strCache>
                <c:ptCount val="16"/>
                <c:pt idx="0">
                  <c:v>Intalação</c:v>
                </c:pt>
                <c:pt idx="1">
                  <c:v>Acessos</c:v>
                </c:pt>
                <c:pt idx="2">
                  <c:v>Teste - Backlog</c:v>
                </c:pt>
                <c:pt idx="3">
                  <c:v>AsIs - CET</c:v>
                </c:pt>
                <c:pt idx="4">
                  <c:v>Homologação - CET</c:v>
                </c:pt>
                <c:pt idx="5">
                  <c:v>ToBe - NFSe</c:v>
                </c:pt>
                <c:pt idx="6">
                  <c:v>Documentação - NFSe</c:v>
                </c:pt>
                <c:pt idx="7">
                  <c:v>Kick Off NFSe - NFSe</c:v>
                </c:pt>
                <c:pt idx="8">
                  <c:v>Desenvolvimento - NFSe</c:v>
                </c:pt>
                <c:pt idx="9">
                  <c:v>Teste - NFSe</c:v>
                </c:pt>
                <c:pt idx="10">
                  <c:v>Homologação - NFSe</c:v>
                </c:pt>
                <c:pt idx="11">
                  <c:v>Produção NFSe - NFSe</c:v>
                </c:pt>
                <c:pt idx="12">
                  <c:v>Encerramento</c:v>
                </c:pt>
                <c:pt idx="13">
                  <c:v>a</c:v>
                </c:pt>
                <c:pt idx="14">
                  <c:v>Lições Aprendidas</c:v>
                </c:pt>
                <c:pt idx="15">
                  <c:v>Resumo de Projeto</c:v>
                </c:pt>
              </c:strCache>
            </c:strRef>
          </c:cat>
          <c:val>
            <c:numRef>
              <c:f>(Cronograma!$F$9,Cronograma!$F$14,Cronograma!$F$21,Cronograma!$F$26,Cronograma!$F$33,Cronograma!$F$37:$F$47)</c:f>
              <c:numCache>
                <c:formatCode>0%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9-4D40-96E4-2249A7AA6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245392"/>
        <c:axId val="510243824"/>
        <c:extLst/>
      </c:barChart>
      <c:catAx>
        <c:axId val="51024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3824"/>
        <c:crosses val="autoZero"/>
        <c:auto val="1"/>
        <c:lblAlgn val="ctr"/>
        <c:lblOffset val="100"/>
        <c:noMultiLvlLbl val="0"/>
      </c:catAx>
      <c:valAx>
        <c:axId val="51024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/>
              <a:t>Prazo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Prazo!$C$2</c:f>
              <c:strCache>
                <c:ptCount val="1"/>
                <c:pt idx="0">
                  <c:v>Duração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Prazo!$B$3:$B$33</c:f>
              <c:numCache>
                <c:formatCode>m/d/yyyy</c:formatCode>
                <c:ptCount val="31"/>
                <c:pt idx="0">
                  <c:v>43746</c:v>
                </c:pt>
                <c:pt idx="1">
                  <c:v>43746</c:v>
                </c:pt>
                <c:pt idx="2">
                  <c:v>43747</c:v>
                </c:pt>
                <c:pt idx="3">
                  <c:v>43747</c:v>
                </c:pt>
                <c:pt idx="4">
                  <c:v>43747</c:v>
                </c:pt>
                <c:pt idx="5">
                  <c:v>43747</c:v>
                </c:pt>
                <c:pt idx="6">
                  <c:v>43747</c:v>
                </c:pt>
                <c:pt idx="7">
                  <c:v>43742</c:v>
                </c:pt>
                <c:pt idx="8">
                  <c:v>43751</c:v>
                </c:pt>
                <c:pt idx="9">
                  <c:v>43753</c:v>
                </c:pt>
                <c:pt idx="10">
                  <c:v>43754</c:v>
                </c:pt>
                <c:pt idx="11">
                  <c:v>43754</c:v>
                </c:pt>
                <c:pt idx="12">
                  <c:v>43758</c:v>
                </c:pt>
                <c:pt idx="13">
                  <c:v>43754</c:v>
                </c:pt>
                <c:pt idx="14">
                  <c:v>43754</c:v>
                </c:pt>
                <c:pt idx="15">
                  <c:v>43755</c:v>
                </c:pt>
                <c:pt idx="16">
                  <c:v>43756</c:v>
                </c:pt>
                <c:pt idx="17">
                  <c:v>43762</c:v>
                </c:pt>
                <c:pt idx="18">
                  <c:v>43763</c:v>
                </c:pt>
                <c:pt idx="19">
                  <c:v>43767</c:v>
                </c:pt>
                <c:pt idx="20">
                  <c:v>43768</c:v>
                </c:pt>
                <c:pt idx="21">
                  <c:v>43768</c:v>
                </c:pt>
                <c:pt idx="22">
                  <c:v>43768</c:v>
                </c:pt>
                <c:pt idx="23">
                  <c:v>43769</c:v>
                </c:pt>
                <c:pt idx="24">
                  <c:v>43770</c:v>
                </c:pt>
                <c:pt idx="25">
                  <c:v>43776</c:v>
                </c:pt>
                <c:pt idx="26">
                  <c:v>43777</c:v>
                </c:pt>
                <c:pt idx="27">
                  <c:v>43781</c:v>
                </c:pt>
                <c:pt idx="28">
                  <c:v>43782</c:v>
                </c:pt>
                <c:pt idx="29">
                  <c:v>43783</c:v>
                </c:pt>
                <c:pt idx="30">
                  <c:v>43783</c:v>
                </c:pt>
              </c:numCache>
            </c:numRef>
          </c:cat>
          <c:val>
            <c:numRef>
              <c:f>Prazo!$C$3:$C$40</c:f>
              <c:numCache>
                <c:formatCode>General</c:formatCode>
                <c:ptCount val="3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</c:v>
                </c:pt>
                <c:pt idx="6">
                  <c:v>0.1</c:v>
                </c:pt>
                <c:pt idx="7">
                  <c:v>0.5</c:v>
                </c:pt>
                <c:pt idx="8">
                  <c:v>4</c:v>
                </c:pt>
                <c:pt idx="9">
                  <c:v>1</c:v>
                </c:pt>
                <c:pt idx="10">
                  <c:v>0.5</c:v>
                </c:pt>
                <c:pt idx="11">
                  <c:v>0.5</c:v>
                </c:pt>
                <c:pt idx="12">
                  <c:v>5</c:v>
                </c:pt>
                <c:pt idx="13">
                  <c:v>0.5</c:v>
                </c:pt>
                <c:pt idx="14">
                  <c:v>0.5</c:v>
                </c:pt>
                <c:pt idx="15">
                  <c:v>2</c:v>
                </c:pt>
                <c:pt idx="16">
                  <c:v>0.5</c:v>
                </c:pt>
                <c:pt idx="17">
                  <c:v>7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0.5</c:v>
                </c:pt>
                <c:pt idx="22">
                  <c:v>0.5</c:v>
                </c:pt>
                <c:pt idx="23">
                  <c:v>2</c:v>
                </c:pt>
                <c:pt idx="24">
                  <c:v>0.5</c:v>
                </c:pt>
                <c:pt idx="25">
                  <c:v>7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AA2-4760-9245-AD90D5537326}"/>
            </c:ext>
          </c:extLst>
        </c:ser>
        <c:ser>
          <c:idx val="1"/>
          <c:order val="1"/>
          <c:tx>
            <c:strRef>
              <c:f>Prazo!$D$2</c:f>
              <c:strCache>
                <c:ptCount val="1"/>
                <c:pt idx="0">
                  <c:v>Duração Real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Prazo!$B$3:$B$33</c:f>
              <c:numCache>
                <c:formatCode>m/d/yyyy</c:formatCode>
                <c:ptCount val="31"/>
                <c:pt idx="0">
                  <c:v>43746</c:v>
                </c:pt>
                <c:pt idx="1">
                  <c:v>43746</c:v>
                </c:pt>
                <c:pt idx="2">
                  <c:v>43747</c:v>
                </c:pt>
                <c:pt idx="3">
                  <c:v>43747</c:v>
                </c:pt>
                <c:pt idx="4">
                  <c:v>43747</c:v>
                </c:pt>
                <c:pt idx="5">
                  <c:v>43747</c:v>
                </c:pt>
                <c:pt idx="6">
                  <c:v>43747</c:v>
                </c:pt>
                <c:pt idx="7">
                  <c:v>43742</c:v>
                </c:pt>
                <c:pt idx="8">
                  <c:v>43751</c:v>
                </c:pt>
                <c:pt idx="9">
                  <c:v>43753</c:v>
                </c:pt>
                <c:pt idx="10">
                  <c:v>43754</c:v>
                </c:pt>
                <c:pt idx="11">
                  <c:v>43754</c:v>
                </c:pt>
                <c:pt idx="12">
                  <c:v>43758</c:v>
                </c:pt>
                <c:pt idx="13">
                  <c:v>43754</c:v>
                </c:pt>
                <c:pt idx="14">
                  <c:v>43754</c:v>
                </c:pt>
                <c:pt idx="15">
                  <c:v>43755</c:v>
                </c:pt>
                <c:pt idx="16">
                  <c:v>43756</c:v>
                </c:pt>
                <c:pt idx="17">
                  <c:v>43762</c:v>
                </c:pt>
                <c:pt idx="18">
                  <c:v>43763</c:v>
                </c:pt>
                <c:pt idx="19">
                  <c:v>43767</c:v>
                </c:pt>
                <c:pt idx="20">
                  <c:v>43768</c:v>
                </c:pt>
                <c:pt idx="21">
                  <c:v>43768</c:v>
                </c:pt>
                <c:pt idx="22">
                  <c:v>43768</c:v>
                </c:pt>
                <c:pt idx="23">
                  <c:v>43769</c:v>
                </c:pt>
                <c:pt idx="24">
                  <c:v>43770</c:v>
                </c:pt>
                <c:pt idx="25">
                  <c:v>43776</c:v>
                </c:pt>
                <c:pt idx="26">
                  <c:v>43777</c:v>
                </c:pt>
                <c:pt idx="27">
                  <c:v>43781</c:v>
                </c:pt>
                <c:pt idx="28">
                  <c:v>43782</c:v>
                </c:pt>
                <c:pt idx="29">
                  <c:v>43783</c:v>
                </c:pt>
                <c:pt idx="30">
                  <c:v>43783</c:v>
                </c:pt>
              </c:numCache>
            </c:numRef>
          </c:cat>
          <c:val>
            <c:numRef>
              <c:f>Prazo!$D$3:$D$33</c:f>
              <c:numCache>
                <c:formatCode>General</c:formatCode>
                <c:ptCount val="31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</c:v>
                </c:pt>
                <c:pt idx="6">
                  <c:v>0.1</c:v>
                </c:pt>
                <c:pt idx="7">
                  <c:v>0.5</c:v>
                </c:pt>
                <c:pt idx="8">
                  <c:v>4</c:v>
                </c:pt>
                <c:pt idx="9">
                  <c:v>1</c:v>
                </c:pt>
                <c:pt idx="10">
                  <c:v>0.5</c:v>
                </c:pt>
                <c:pt idx="11">
                  <c:v>0.5</c:v>
                </c:pt>
                <c:pt idx="12">
                  <c:v>5</c:v>
                </c:pt>
                <c:pt idx="13">
                  <c:v>0.5</c:v>
                </c:pt>
                <c:pt idx="14">
                  <c:v>0.5</c:v>
                </c:pt>
                <c:pt idx="15">
                  <c:v>2</c:v>
                </c:pt>
                <c:pt idx="16">
                  <c:v>0.5</c:v>
                </c:pt>
                <c:pt idx="17">
                  <c:v>7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0.5</c:v>
                </c:pt>
                <c:pt idx="22">
                  <c:v>0.5</c:v>
                </c:pt>
                <c:pt idx="23">
                  <c:v>2</c:v>
                </c:pt>
                <c:pt idx="24">
                  <c:v>0.5</c:v>
                </c:pt>
                <c:pt idx="25">
                  <c:v>7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AA2-4760-9245-AD90D5537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244608"/>
        <c:axId val="510242648"/>
      </c:lineChart>
      <c:dateAx>
        <c:axId val="5102446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2648"/>
        <c:crosses val="autoZero"/>
        <c:auto val="1"/>
        <c:lblOffset val="100"/>
        <c:baseTimeUnit val="days"/>
      </c:dateAx>
      <c:valAx>
        <c:axId val="5102426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16" fmlaLink="_TimeFrameSelected" max="200" min="1" page="10" val="9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29" name="Controle Giratório 5" descr="Period Highlight Spin Contro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257175</xdr:colOff>
          <xdr:row>50</xdr:row>
          <xdr:rowOff>123825</xdr:rowOff>
        </xdr:from>
        <xdr:to>
          <xdr:col>8</xdr:col>
          <xdr:colOff>200025</xdr:colOff>
          <xdr:row>54</xdr:row>
          <xdr:rowOff>200025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404040"/>
                  </a:solidFill>
                  <a:latin typeface="Corbel"/>
                </a:rPr>
                <a:t>Atualizar planilha</a:t>
              </a:r>
              <a:endParaRPr lang="pt-BR" sz="1100" b="0" i="0" u="none" strike="noStrike" baseline="0">
                <a:solidFill>
                  <a:srgbClr val="404040"/>
                </a:solidFill>
                <a:latin typeface="Corbel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404040"/>
                </a:solidFill>
                <a:latin typeface="Corbe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12</xdr:col>
      <xdr:colOff>394606</xdr:colOff>
      <xdr:row>12</xdr:row>
      <xdr:rowOff>0</xdr:rowOff>
    </xdr:to>
    <xdr:graphicFrame macro="">
      <xdr:nvGraphicFramePr>
        <xdr:cNvPr id="6" name="grf_Project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247651</xdr:colOff>
      <xdr:row>2</xdr:row>
      <xdr:rowOff>19049</xdr:rowOff>
    </xdr:from>
    <xdr:to>
      <xdr:col>17</xdr:col>
      <xdr:colOff>489857</xdr:colOff>
      <xdr:row>33</xdr:row>
      <xdr:rowOff>136070</xdr:rowOff>
    </xdr:to>
    <xdr:graphicFrame macro="">
      <xdr:nvGraphicFramePr>
        <xdr:cNvPr id="7" name="grf_Deadline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ronograma%20de%20Projeto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3742.086350810183" createdVersion="6" refreshedVersion="6" minRefreshableVersion="3" recordCount="38">
  <cacheSource type="worksheet">
    <worksheetSource ref="B6:N49" sheet="Cronograma" r:id="rId2"/>
  </cacheSource>
  <cacheFields count="13">
    <cacheField name="Item" numFmtId="0">
      <sharedItems count="38">
        <s v="0.0"/>
        <s v="1.0"/>
        <s v="1.1"/>
        <s v="1.2"/>
        <s v="1.3"/>
        <s v="1.4"/>
        <s v="2.0"/>
        <s v="2.1"/>
        <s v="2.2"/>
        <s v="2.3"/>
        <s v="3.0"/>
        <s v="3.1"/>
        <s v="3.2"/>
        <s v="3.3"/>
        <s v="3.4"/>
        <s v="3.5"/>
        <s v="3.6"/>
        <s v="4.0"/>
        <s v="4.1"/>
        <s v="4.2"/>
        <s v="4.3"/>
        <s v="4.4"/>
        <s v="4.5"/>
        <s v="4.6"/>
        <s v="4.7"/>
        <s v="4.8"/>
        <s v="5.0"/>
        <s v="5.1"/>
        <s v="5.2"/>
        <s v="5.3"/>
        <s v="5.4"/>
        <s v="5.5"/>
        <s v="5.6"/>
        <s v="5.7"/>
        <s v="5.8"/>
        <s v="6.0"/>
        <s v="6.1"/>
        <s v="6.3"/>
      </sharedItems>
    </cacheField>
    <cacheField name="Atividade" numFmtId="0">
      <sharedItems count="39">
        <s v="Projeto CMA"/>
        <s v="Intalação"/>
        <s v="Preparação de ambiente"/>
        <s v="Verificação de ambiente"/>
        <s v="Instalação"/>
        <s v="Testes"/>
        <s v="Acessos"/>
        <s v="Login e senha"/>
        <s v="Teste de acessos"/>
        <s v="Realinhamento"/>
        <s v="Backlog"/>
        <s v="AsIs - Backlog"/>
        <s v="Desenvolvimento - Backlog"/>
        <s v="Teste - Backlog"/>
        <s v="Ajuste - Backlog"/>
        <s v="Homologação - Backlog"/>
        <s v="Rodar - Backlog"/>
        <s v="CET"/>
        <s v="AsIs - CET"/>
        <s v="ToBe - CET"/>
        <s v="Documentação - CET"/>
        <s v="Kick Off - CET"/>
        <s v="Desenvolvimento - CET"/>
        <s v="Teste - CET"/>
        <s v="Homologação - CET"/>
        <s v="Produção - CET"/>
        <s v="NFSe"/>
        <s v="AsIs - NFSe"/>
        <s v="ToBe - NFSe"/>
        <s v="Documentação - NFSe"/>
        <s v="Kick Off NFSe - NFSe"/>
        <s v="Desenvolvimento - NFSe"/>
        <s v="Teste - NFSe"/>
        <s v="Homologação - NFSe"/>
        <s v="Produção NFSe - NFSe"/>
        <s v="Encerramento"/>
        <s v="Lições Aprendidas"/>
        <s v="Resumo de Projeto"/>
        <s v="Realinahmento" u="1"/>
      </sharedItems>
    </cacheField>
    <cacheField name="Duração" numFmtId="0">
      <sharedItems containsSemiMixedTypes="0" containsString="0" containsNumber="1" minValue="0.1" maxValue="42" count="11">
        <n v="42"/>
        <n v="2"/>
        <n v="0.5"/>
        <n v="17"/>
        <n v="0.4"/>
        <n v="0.1"/>
        <n v="4"/>
        <n v="1"/>
        <n v="5"/>
        <n v="15"/>
        <n v="7"/>
      </sharedItems>
    </cacheField>
    <cacheField name="Duração Real" numFmtId="0">
      <sharedItems containsSemiMixedTypes="0" containsString="0" containsNumber="1" minValue="0.1" maxValue="42" count="11">
        <n v="42"/>
        <n v="2"/>
        <n v="0.5"/>
        <n v="23"/>
        <n v="0.4"/>
        <n v="0.1"/>
        <n v="4"/>
        <n v="1"/>
        <n v="5"/>
        <n v="15"/>
        <n v="7"/>
      </sharedItems>
    </cacheField>
    <cacheField name="% Concluído" numFmtId="9">
      <sharedItems containsSemiMixedTypes="0" containsString="0" containsNumber="1" containsInteger="1" minValue="0" maxValue="0" count="1">
        <n v="0"/>
      </sharedItems>
    </cacheField>
    <cacheField name="Início" numFmtId="14">
      <sharedItems containsSemiMixedTypes="0" containsNonDate="0" containsDate="1" containsString="0" minDate="2019-10-04T00:00:00" maxDate="2019-11-15T00:00:00" count="16">
        <d v="2019-10-04T00:00:00"/>
        <d v="2019-10-08T00:00:00"/>
        <d v="2019-10-09T00:00:00"/>
        <d v="2019-10-10T00:00:00"/>
        <d v="2019-10-15T00:00:00"/>
        <d v="2019-10-16T00:00:00"/>
        <d v="2019-10-18T00:00:00"/>
        <d v="2019-10-24T00:00:00"/>
        <d v="2019-10-28T00:00:00"/>
        <d v="2019-10-29T00:00:00"/>
        <d v="2019-10-30T00:00:00"/>
        <d v="2019-11-01T00:00:00"/>
        <d v="2019-11-07T00:00:00"/>
        <d v="2019-11-11T00:00:00"/>
        <d v="2019-11-12T00:00:00"/>
        <d v="2019-11-14T00:00:00"/>
      </sharedItems>
    </cacheField>
    <cacheField name="Início Real" numFmtId="14">
      <sharedItems containsSemiMixedTypes="0" containsNonDate="0" containsDate="1" containsString="0" minDate="2019-10-04T00:00:00" maxDate="2019-11-15T00:00:00"/>
    </cacheField>
    <cacheField name="Final" numFmtId="14">
      <sharedItems containsSemiMixedTypes="0" containsNonDate="0" containsDate="1" containsString="0" minDate="2019-10-04T00:00:00" maxDate="2019-11-15T00:00:00" count="20">
        <d v="2019-11-14T00:00:00"/>
        <d v="2019-10-09T00:00:00"/>
        <d v="2019-10-08T00:00:00"/>
        <d v="2019-10-20T00:00:00"/>
        <d v="2019-10-04T00:00:00"/>
        <d v="2019-10-13T00:00:00"/>
        <d v="2019-10-15T00:00:00"/>
        <d v="2019-10-16T00:00:00"/>
        <d v="2019-10-30T00:00:00"/>
        <d v="2019-10-17T00:00:00"/>
        <d v="2019-10-18T00:00:00"/>
        <d v="2019-10-24T00:00:00"/>
        <d v="2019-10-25T00:00:00"/>
        <d v="2019-10-29T00:00:00"/>
        <d v="2019-11-13T00:00:00"/>
        <d v="2019-10-31T00:00:00"/>
        <d v="2019-11-01T00:00:00"/>
        <d v="2019-11-07T00:00:00"/>
        <d v="2019-11-08T00:00:00"/>
        <d v="2019-11-12T00:00:00"/>
      </sharedItems>
    </cacheField>
    <cacheField name="Final Real" numFmtId="14">
      <sharedItems containsSemiMixedTypes="0" containsNonDate="0" containsDate="1" containsString="0" minDate="2019-10-04T00:00:00" maxDate="2019-11-15T00:00:00"/>
    </cacheField>
    <cacheField name="Status" numFmtId="14">
      <sharedItems containsBlank="1" count="2">
        <m/>
        <s v="Em andamento"/>
      </sharedItems>
    </cacheField>
    <cacheField name="Marco" numFmtId="14">
      <sharedItems containsBlank="1" count="3">
        <m/>
        <s v="Não"/>
        <s v="Sim"/>
      </sharedItems>
    </cacheField>
    <cacheField name="Reposabilidade" numFmtId="14">
      <sharedItems containsBlank="1"/>
    </cacheField>
    <cacheField name="Colaboradores" numFmtId="14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x v="0"/>
    <x v="0"/>
    <x v="0"/>
    <x v="0"/>
    <x v="0"/>
    <d v="2019-10-04T00:00:00"/>
    <x v="0"/>
    <d v="2019-11-14T00:00:00"/>
    <x v="0"/>
    <x v="0"/>
    <m/>
    <x v="0"/>
  </r>
  <r>
    <x v="1"/>
    <x v="1"/>
    <x v="1"/>
    <x v="1"/>
    <x v="0"/>
    <x v="1"/>
    <d v="2019-10-08T00:00:00"/>
    <x v="1"/>
    <d v="2019-10-09T00:00:00"/>
    <x v="0"/>
    <x v="0"/>
    <m/>
    <x v="0"/>
  </r>
  <r>
    <x v="2"/>
    <x v="2"/>
    <x v="2"/>
    <x v="2"/>
    <x v="0"/>
    <x v="1"/>
    <d v="2019-10-08T00:00:00"/>
    <x v="2"/>
    <d v="2019-10-08T00:00:00"/>
    <x v="1"/>
    <x v="1"/>
    <s v="AA"/>
    <x v="0"/>
  </r>
  <r>
    <x v="3"/>
    <x v="3"/>
    <x v="2"/>
    <x v="2"/>
    <x v="0"/>
    <x v="1"/>
    <d v="2019-10-08T00:00:00"/>
    <x v="2"/>
    <d v="2019-10-08T00:00:00"/>
    <x v="1"/>
    <x v="1"/>
    <s v="AA"/>
    <x v="0"/>
  </r>
  <r>
    <x v="4"/>
    <x v="4"/>
    <x v="2"/>
    <x v="2"/>
    <x v="0"/>
    <x v="2"/>
    <d v="2019-10-09T00:00:00"/>
    <x v="1"/>
    <d v="2019-10-09T00:00:00"/>
    <x v="1"/>
    <x v="2"/>
    <s v="AA"/>
    <x v="0"/>
  </r>
  <r>
    <x v="5"/>
    <x v="5"/>
    <x v="2"/>
    <x v="2"/>
    <x v="0"/>
    <x v="2"/>
    <d v="2019-10-09T00:00:00"/>
    <x v="1"/>
    <d v="2019-10-09T00:00:00"/>
    <x v="1"/>
    <x v="1"/>
    <s v="AA"/>
    <x v="0"/>
  </r>
  <r>
    <x v="6"/>
    <x v="6"/>
    <x v="3"/>
    <x v="3"/>
    <x v="0"/>
    <x v="0"/>
    <d v="2019-10-04T00:00:00"/>
    <x v="3"/>
    <d v="2019-10-26T00:00:00"/>
    <x v="0"/>
    <x v="0"/>
    <m/>
    <x v="0"/>
  </r>
  <r>
    <x v="7"/>
    <x v="7"/>
    <x v="2"/>
    <x v="2"/>
    <x v="0"/>
    <x v="2"/>
    <d v="2019-10-09T00:00:00"/>
    <x v="1"/>
    <d v="2019-10-09T00:00:00"/>
    <x v="1"/>
    <x v="1"/>
    <s v="CMA"/>
    <x v="0"/>
  </r>
  <r>
    <x v="8"/>
    <x v="8"/>
    <x v="4"/>
    <x v="4"/>
    <x v="0"/>
    <x v="2"/>
    <d v="2019-10-09T00:00:00"/>
    <x v="1"/>
    <d v="2019-10-09T00:00:00"/>
    <x v="1"/>
    <x v="2"/>
    <s v="STF"/>
    <x v="0"/>
  </r>
  <r>
    <x v="9"/>
    <x v="9"/>
    <x v="5"/>
    <x v="5"/>
    <x v="0"/>
    <x v="2"/>
    <d v="2019-10-09T00:00:00"/>
    <x v="1"/>
    <d v="2019-10-09T00:00:00"/>
    <x v="1"/>
    <x v="1"/>
    <s v="CMA;SFT"/>
    <x v="0"/>
  </r>
  <r>
    <x v="10"/>
    <x v="10"/>
    <x v="3"/>
    <x v="3"/>
    <x v="0"/>
    <x v="0"/>
    <d v="2019-10-04T00:00:00"/>
    <x v="3"/>
    <d v="2019-10-26T00:00:00"/>
    <x v="0"/>
    <x v="0"/>
    <m/>
    <x v="0"/>
  </r>
  <r>
    <x v="11"/>
    <x v="11"/>
    <x v="2"/>
    <x v="2"/>
    <x v="0"/>
    <x v="0"/>
    <d v="2019-10-04T00:00:00"/>
    <x v="4"/>
    <d v="2019-10-04T00:00:00"/>
    <x v="1"/>
    <x v="1"/>
    <s v="STF"/>
    <x v="0"/>
  </r>
  <r>
    <x v="12"/>
    <x v="12"/>
    <x v="6"/>
    <x v="6"/>
    <x v="0"/>
    <x v="3"/>
    <d v="2019-10-14T00:00:00"/>
    <x v="5"/>
    <d v="2019-10-17T00:00:00"/>
    <x v="1"/>
    <x v="1"/>
    <s v="STF"/>
    <x v="0"/>
  </r>
  <r>
    <x v="13"/>
    <x v="13"/>
    <x v="7"/>
    <x v="7"/>
    <x v="0"/>
    <x v="4"/>
    <d v="2019-10-15T00:00:00"/>
    <x v="6"/>
    <d v="2019-10-15T00:00:00"/>
    <x v="1"/>
    <x v="1"/>
    <s v="STF"/>
    <x v="0"/>
  </r>
  <r>
    <x v="14"/>
    <x v="14"/>
    <x v="2"/>
    <x v="2"/>
    <x v="0"/>
    <x v="5"/>
    <d v="2019-10-16T00:00:00"/>
    <x v="7"/>
    <d v="2019-10-16T00:00:00"/>
    <x v="1"/>
    <x v="1"/>
    <s v="CMA"/>
    <x v="0"/>
  </r>
  <r>
    <x v="15"/>
    <x v="15"/>
    <x v="2"/>
    <x v="2"/>
    <x v="0"/>
    <x v="5"/>
    <d v="2019-10-16T00:00:00"/>
    <x v="7"/>
    <d v="2019-10-16T00:00:00"/>
    <x v="1"/>
    <x v="1"/>
    <s v="STF"/>
    <x v="0"/>
  </r>
  <r>
    <x v="16"/>
    <x v="16"/>
    <x v="8"/>
    <x v="8"/>
    <x v="0"/>
    <x v="5"/>
    <d v="2019-10-22T00:00:00"/>
    <x v="3"/>
    <d v="2019-10-26T00:00:00"/>
    <x v="1"/>
    <x v="2"/>
    <s v="STF"/>
    <x v="0"/>
  </r>
  <r>
    <x v="17"/>
    <x v="17"/>
    <x v="9"/>
    <x v="9"/>
    <x v="0"/>
    <x v="5"/>
    <d v="2019-10-16T00:00:00"/>
    <x v="8"/>
    <d v="2019-10-30T00:00:00"/>
    <x v="0"/>
    <x v="0"/>
    <m/>
    <x v="0"/>
  </r>
  <r>
    <x v="18"/>
    <x v="18"/>
    <x v="2"/>
    <x v="2"/>
    <x v="0"/>
    <x v="5"/>
    <d v="2019-10-16T00:00:00"/>
    <x v="7"/>
    <d v="2019-10-16T00:00:00"/>
    <x v="1"/>
    <x v="1"/>
    <s v="STF"/>
    <x v="0"/>
  </r>
  <r>
    <x v="19"/>
    <x v="19"/>
    <x v="2"/>
    <x v="2"/>
    <x v="0"/>
    <x v="5"/>
    <d v="2019-10-16T00:00:00"/>
    <x v="7"/>
    <d v="2019-10-16T00:00:00"/>
    <x v="1"/>
    <x v="1"/>
    <s v="STF"/>
    <x v="0"/>
  </r>
  <r>
    <x v="20"/>
    <x v="20"/>
    <x v="1"/>
    <x v="1"/>
    <x v="0"/>
    <x v="5"/>
    <d v="2019-10-16T00:00:00"/>
    <x v="9"/>
    <d v="2019-10-17T00:00:00"/>
    <x v="1"/>
    <x v="1"/>
    <s v="STF"/>
    <x v="0"/>
  </r>
  <r>
    <x v="21"/>
    <x v="21"/>
    <x v="2"/>
    <x v="2"/>
    <x v="0"/>
    <x v="6"/>
    <d v="2019-10-18T00:00:00"/>
    <x v="10"/>
    <d v="2019-10-18T00:00:00"/>
    <x v="1"/>
    <x v="2"/>
    <s v="CMA;SFT"/>
    <x v="0"/>
  </r>
  <r>
    <x v="22"/>
    <x v="22"/>
    <x v="10"/>
    <x v="10"/>
    <x v="0"/>
    <x v="6"/>
    <d v="2019-10-18T00:00:00"/>
    <x v="11"/>
    <d v="2019-10-24T00:00:00"/>
    <x v="1"/>
    <x v="1"/>
    <s v="STF"/>
    <x v="0"/>
  </r>
  <r>
    <x v="23"/>
    <x v="23"/>
    <x v="1"/>
    <x v="1"/>
    <x v="0"/>
    <x v="7"/>
    <d v="2019-10-24T00:00:00"/>
    <x v="12"/>
    <d v="2019-10-25T00:00:00"/>
    <x v="1"/>
    <x v="1"/>
    <s v="SFT"/>
    <x v="0"/>
  </r>
  <r>
    <x v="24"/>
    <x v="24"/>
    <x v="1"/>
    <x v="1"/>
    <x v="0"/>
    <x v="8"/>
    <d v="2019-10-28T00:00:00"/>
    <x v="13"/>
    <d v="2019-10-29T00:00:00"/>
    <x v="1"/>
    <x v="1"/>
    <s v="CMA"/>
    <x v="0"/>
  </r>
  <r>
    <x v="25"/>
    <x v="25"/>
    <x v="1"/>
    <x v="1"/>
    <x v="0"/>
    <x v="9"/>
    <d v="2019-10-29T00:00:00"/>
    <x v="8"/>
    <d v="2019-10-30T00:00:00"/>
    <x v="1"/>
    <x v="2"/>
    <s v="CMA;SFT"/>
    <x v="0"/>
  </r>
  <r>
    <x v="26"/>
    <x v="26"/>
    <x v="9"/>
    <x v="9"/>
    <x v="0"/>
    <x v="10"/>
    <d v="2019-10-30T00:00:00"/>
    <x v="14"/>
    <d v="2019-11-13T00:00:00"/>
    <x v="0"/>
    <x v="0"/>
    <m/>
    <x v="0"/>
  </r>
  <r>
    <x v="27"/>
    <x v="27"/>
    <x v="2"/>
    <x v="2"/>
    <x v="0"/>
    <x v="10"/>
    <d v="2019-10-30T00:00:00"/>
    <x v="8"/>
    <d v="2019-10-30T00:00:00"/>
    <x v="1"/>
    <x v="1"/>
    <s v="STF"/>
    <x v="0"/>
  </r>
  <r>
    <x v="28"/>
    <x v="28"/>
    <x v="2"/>
    <x v="2"/>
    <x v="0"/>
    <x v="10"/>
    <d v="2019-10-30T00:00:00"/>
    <x v="8"/>
    <d v="2019-10-30T00:00:00"/>
    <x v="1"/>
    <x v="1"/>
    <s v="STF"/>
    <x v="0"/>
  </r>
  <r>
    <x v="29"/>
    <x v="29"/>
    <x v="1"/>
    <x v="1"/>
    <x v="0"/>
    <x v="10"/>
    <d v="2019-10-30T00:00:00"/>
    <x v="15"/>
    <d v="2019-10-31T00:00:00"/>
    <x v="1"/>
    <x v="1"/>
    <s v="STF"/>
    <x v="0"/>
  </r>
  <r>
    <x v="30"/>
    <x v="30"/>
    <x v="2"/>
    <x v="2"/>
    <x v="0"/>
    <x v="11"/>
    <d v="2019-11-01T00:00:00"/>
    <x v="16"/>
    <d v="2019-11-01T00:00:00"/>
    <x v="1"/>
    <x v="2"/>
    <s v="CMA;SFT"/>
    <x v="0"/>
  </r>
  <r>
    <x v="31"/>
    <x v="31"/>
    <x v="10"/>
    <x v="10"/>
    <x v="0"/>
    <x v="11"/>
    <d v="2019-11-01T00:00:00"/>
    <x v="17"/>
    <d v="2019-11-07T00:00:00"/>
    <x v="1"/>
    <x v="1"/>
    <s v="STF"/>
    <x v="0"/>
  </r>
  <r>
    <x v="32"/>
    <x v="32"/>
    <x v="1"/>
    <x v="1"/>
    <x v="0"/>
    <x v="12"/>
    <d v="2019-11-07T00:00:00"/>
    <x v="18"/>
    <d v="2019-11-08T00:00:00"/>
    <x v="1"/>
    <x v="1"/>
    <s v="SFT"/>
    <x v="0"/>
  </r>
  <r>
    <x v="33"/>
    <x v="33"/>
    <x v="1"/>
    <x v="1"/>
    <x v="0"/>
    <x v="13"/>
    <d v="2019-11-11T00:00:00"/>
    <x v="19"/>
    <d v="2019-11-12T00:00:00"/>
    <x v="1"/>
    <x v="1"/>
    <s v="CMA"/>
    <x v="0"/>
  </r>
  <r>
    <x v="34"/>
    <x v="34"/>
    <x v="1"/>
    <x v="1"/>
    <x v="0"/>
    <x v="14"/>
    <d v="2019-11-12T00:00:00"/>
    <x v="14"/>
    <d v="2019-11-13T00:00:00"/>
    <x v="1"/>
    <x v="2"/>
    <s v="CMA;SFT"/>
    <x v="0"/>
  </r>
  <r>
    <x v="35"/>
    <x v="35"/>
    <x v="7"/>
    <x v="7"/>
    <x v="0"/>
    <x v="15"/>
    <d v="2019-11-14T00:00:00"/>
    <x v="0"/>
    <d v="2019-11-14T00:00:00"/>
    <x v="0"/>
    <x v="0"/>
    <m/>
    <x v="0"/>
  </r>
  <r>
    <x v="36"/>
    <x v="36"/>
    <x v="2"/>
    <x v="2"/>
    <x v="0"/>
    <x v="15"/>
    <d v="2019-11-14T00:00:00"/>
    <x v="0"/>
    <d v="2019-11-14T00:00:00"/>
    <x v="1"/>
    <x v="1"/>
    <s v="CMA;SFT"/>
    <x v="0"/>
  </r>
  <r>
    <x v="37"/>
    <x v="37"/>
    <x v="2"/>
    <x v="2"/>
    <x v="0"/>
    <x v="15"/>
    <d v="2019-11-14T00:00:00"/>
    <x v="0"/>
    <d v="2019-11-14T00:00:00"/>
    <x v="1"/>
    <x v="2"/>
    <s v="CMA;SFT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blDin_OverView" cacheId="0" applyNumberFormats="0" applyBorderFormats="0" applyFontFormats="0" applyPatternFormats="0" applyAlignmentFormats="0" applyWidthHeightFormats="1" dataCaption="Valores" showMissing="0" updatedVersion="6" minRefreshableVersion="3" useAutoFormatting="1" rowGrandTotals="0" colGrandTotals="0" itemPrintTitles="1" createdVersion="5" indent="0" compact="0" compactData="0" gridDropZones="1" multipleFieldFilters="0">
  <location ref="G18:M57" firstHeaderRow="2" firstDataRow="2" firstDataCol="6" rowPageCount="1" colPageCount="1"/>
  <pivotFields count="13">
    <pivotField axis="axisRow" compact="0" outline="0" showAll="0" includeNewItemsInFilter="1" sortType="ascending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compact="0" outline="0" showAll="0" includeNewItemsInFilter="1" defaultSubtotal="0">
      <items count="39">
        <item x="6"/>
        <item x="10"/>
        <item x="35"/>
        <item x="4"/>
        <item x="1"/>
        <item x="7"/>
        <item x="2"/>
        <item x="0"/>
        <item m="1" x="38"/>
        <item x="8"/>
        <item x="5"/>
        <item x="3"/>
        <item x="17"/>
        <item x="26"/>
        <item x="36"/>
        <item x="37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9"/>
      </items>
    </pivotField>
    <pivotField dataField="1" compact="0" outline="0" showAll="0" defaultSubtotal="0"/>
    <pivotField compact="0" outline="0" showAll="0"/>
    <pivotField axis="axisRow" compact="0" numFmtId="9" outline="0" showAll="0" includeNewItemsInFilter="1" defaultSubtotal="0">
      <items count="1">
        <item x="0"/>
      </items>
    </pivotField>
    <pivotField axis="axisRow" compact="0" numFmtId="14" outline="0" showAll="0" includeNewItemsInFilter="1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compact="0" outline="0" showAll="0"/>
    <pivotField axis="axisRow" compact="0" numFmtId="14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outline="0" showAll="0"/>
    <pivotField axis="axisPage" compact="0" outline="0" showAll="0" includeNewItemsInFilter="1" defaultSubtotal="0">
      <items count="2">
        <item x="0"/>
        <item x="1"/>
      </items>
    </pivotField>
    <pivotField compact="0" outline="0" showAll="0"/>
    <pivotField compact="0" outline="0" showAll="0"/>
    <pivotField axis="axisRow" compact="0" outline="0" showAll="0" includeNewItemsInFilter="1" defaultSubtotal="0">
      <items count="1">
        <item x="0"/>
      </items>
    </pivotField>
  </pivotFields>
  <rowFields count="6">
    <field x="0"/>
    <field x="1"/>
    <field x="5"/>
    <field x="7"/>
    <field x="4"/>
    <field x="12"/>
  </rowFields>
  <rowItems count="38">
    <i>
      <x/>
      <x v="7"/>
      <x/>
      <x v="19"/>
      <x/>
      <x/>
    </i>
    <i>
      <x v="1"/>
      <x v="4"/>
      <x v="1"/>
      <x v="2"/>
      <x/>
      <x/>
    </i>
    <i>
      <x v="2"/>
      <x v="6"/>
      <x v="1"/>
      <x v="1"/>
      <x/>
      <x/>
    </i>
    <i>
      <x v="3"/>
      <x v="11"/>
      <x v="1"/>
      <x v="1"/>
      <x/>
      <x/>
    </i>
    <i>
      <x v="4"/>
      <x v="3"/>
      <x v="2"/>
      <x v="2"/>
      <x/>
      <x/>
    </i>
    <i>
      <x v="5"/>
      <x v="10"/>
      <x v="2"/>
      <x v="2"/>
      <x/>
      <x/>
    </i>
    <i>
      <x v="6"/>
      <x/>
      <x/>
      <x v="8"/>
      <x/>
      <x/>
    </i>
    <i>
      <x v="7"/>
      <x v="5"/>
      <x v="2"/>
      <x v="2"/>
      <x/>
      <x/>
    </i>
    <i>
      <x v="8"/>
      <x v="9"/>
      <x v="2"/>
      <x v="2"/>
      <x/>
      <x/>
    </i>
    <i>
      <x v="9"/>
      <x v="38"/>
      <x v="2"/>
      <x v="2"/>
      <x/>
      <x/>
    </i>
    <i>
      <x v="10"/>
      <x v="1"/>
      <x/>
      <x v="8"/>
      <x/>
      <x/>
    </i>
    <i>
      <x v="11"/>
      <x v="16"/>
      <x/>
      <x/>
      <x/>
      <x/>
    </i>
    <i>
      <x v="12"/>
      <x v="17"/>
      <x v="3"/>
      <x v="3"/>
      <x/>
      <x/>
    </i>
    <i>
      <x v="13"/>
      <x v="18"/>
      <x v="4"/>
      <x v="4"/>
      <x/>
      <x/>
    </i>
    <i>
      <x v="14"/>
      <x v="19"/>
      <x v="5"/>
      <x v="5"/>
      <x/>
      <x/>
    </i>
    <i>
      <x v="15"/>
      <x v="20"/>
      <x v="5"/>
      <x v="5"/>
      <x/>
      <x/>
    </i>
    <i>
      <x v="16"/>
      <x v="21"/>
      <x v="5"/>
      <x v="8"/>
      <x/>
      <x/>
    </i>
    <i>
      <x v="17"/>
      <x v="12"/>
      <x v="5"/>
      <x v="12"/>
      <x/>
      <x/>
    </i>
    <i>
      <x v="18"/>
      <x v="22"/>
      <x v="5"/>
      <x v="5"/>
      <x/>
      <x/>
    </i>
    <i>
      <x v="19"/>
      <x v="23"/>
      <x v="5"/>
      <x v="5"/>
      <x/>
      <x/>
    </i>
    <i>
      <x v="20"/>
      <x v="24"/>
      <x v="5"/>
      <x v="6"/>
      <x/>
      <x/>
    </i>
    <i>
      <x v="21"/>
      <x v="25"/>
      <x v="6"/>
      <x v="7"/>
      <x/>
      <x/>
    </i>
    <i>
      <x v="22"/>
      <x v="26"/>
      <x v="6"/>
      <x v="9"/>
      <x/>
      <x/>
    </i>
    <i>
      <x v="23"/>
      <x v="27"/>
      <x v="7"/>
      <x v="10"/>
      <x/>
      <x/>
    </i>
    <i>
      <x v="24"/>
      <x v="28"/>
      <x v="8"/>
      <x v="11"/>
      <x/>
      <x/>
    </i>
    <i>
      <x v="25"/>
      <x v="29"/>
      <x v="9"/>
      <x v="12"/>
      <x/>
      <x/>
    </i>
    <i>
      <x v="26"/>
      <x v="13"/>
      <x v="10"/>
      <x v="18"/>
      <x/>
      <x/>
    </i>
    <i>
      <x v="27"/>
      <x v="30"/>
      <x v="10"/>
      <x v="12"/>
      <x/>
      <x/>
    </i>
    <i>
      <x v="28"/>
      <x v="31"/>
      <x v="10"/>
      <x v="12"/>
      <x/>
      <x/>
    </i>
    <i>
      <x v="29"/>
      <x v="32"/>
      <x v="10"/>
      <x v="13"/>
      <x/>
      <x/>
    </i>
    <i>
      <x v="30"/>
      <x v="33"/>
      <x v="11"/>
      <x v="14"/>
      <x/>
      <x/>
    </i>
    <i>
      <x v="31"/>
      <x v="34"/>
      <x v="11"/>
      <x v="15"/>
      <x/>
      <x/>
    </i>
    <i>
      <x v="32"/>
      <x v="35"/>
      <x v="12"/>
      <x v="16"/>
      <x/>
      <x/>
    </i>
    <i>
      <x v="33"/>
      <x v="36"/>
      <x v="13"/>
      <x v="17"/>
      <x/>
      <x/>
    </i>
    <i>
      <x v="34"/>
      <x v="37"/>
      <x v="14"/>
      <x v="18"/>
      <x/>
      <x/>
    </i>
    <i>
      <x v="35"/>
      <x v="2"/>
      <x v="15"/>
      <x v="19"/>
      <x/>
      <x/>
    </i>
    <i>
      <x v="36"/>
      <x v="14"/>
      <x v="15"/>
      <x v="19"/>
      <x/>
      <x/>
    </i>
    <i>
      <x v="37"/>
      <x v="15"/>
      <x v="15"/>
      <x v="19"/>
      <x/>
      <x/>
    </i>
  </rowItems>
  <colItems count="1">
    <i/>
  </colItems>
  <pageFields count="1">
    <pageField fld="9" hier="-1"/>
  </pageFields>
  <dataFields count="1">
    <dataField name="Duração (dias)" fld="2" baseField="12" baseItem="0"/>
  </dataFields>
  <formats count="11">
    <format dxfId="55">
      <pivotArea outline="0" collapsedLevelsAreSubtotals="1" fieldPosition="0"/>
    </format>
    <format dxfId="54">
      <pivotArea dataOnly="0" labelOnly="1" grandRow="1" outline="0" fieldPosition="0"/>
    </format>
    <format dxfId="53">
      <pivotArea dataOnly="0" labelOnly="1" grandRow="1" outline="0" offset="A256" fieldPosition="0"/>
    </format>
    <format dxfId="52">
      <pivotArea field="9" type="button" dataOnly="0" labelOnly="1" outline="0" axis="axisPage" fieldPosition="0"/>
    </format>
    <format dxfId="51">
      <pivotArea outline="0" collapsedLevelsAreSubtotals="1" fieldPosition="0"/>
    </format>
    <format dxfId="50">
      <pivotArea outline="0" collapsedLevelsAreSubtotals="1" fieldPosition="0"/>
    </format>
    <format dxfId="49">
      <pivotArea type="topRight" dataOnly="0" labelOnly="1" outline="0" fieldPosition="0"/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type="topRight" dataOnly="0" labelOnly="1" outline="0" fieldPosition="0"/>
    </format>
    <format dxfId="45">
      <pivotArea dataOnly="0" labelOnly="1" outline="0" fieldPosition="0">
        <references count="1">
          <reference field="0" count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blDin_Point" cacheId="0" applyNumberFormats="0" applyBorderFormats="0" applyFontFormats="0" applyPatternFormats="0" applyAlignmentFormats="0" applyWidthHeightFormats="1" dataCaption="Valores" showMissing="0" updatedVersion="6" minRefreshableVersion="3" useAutoFormatting="1" rowGrandTotals="0" itemPrintTitles="1" createdVersion="5" indent="0" compact="0" compactData="0" gridDropZones="1" multipleFieldFilters="0">
  <location ref="B13:D22" firstHeaderRow="2" firstDataRow="2" firstDataCol="2" rowPageCount="1" colPageCount="1"/>
  <pivotFields count="13">
    <pivotField compact="0" outline="0" showAll="0"/>
    <pivotField axis="axisRow" compact="0" outline="0" showAll="0" includeNewItemsInFilter="1" defaultSubtotal="0">
      <items count="39">
        <item x="6"/>
        <item x="10"/>
        <item x="35"/>
        <item x="4"/>
        <item x="1"/>
        <item x="7"/>
        <item x="2"/>
        <item x="0"/>
        <item m="1" x="38"/>
        <item x="8"/>
        <item x="5"/>
        <item x="3"/>
        <item x="17"/>
        <item x="26"/>
        <item x="36"/>
        <item x="37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9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outline="0" showAll="0"/>
    <pivotField compact="0" outline="0" showAll="0" defaultSubtotal="0"/>
    <pivotField axis="axisPage" compact="0" outline="0" multipleItemSelectionAllowed="1" showAll="0">
      <items count="4">
        <item h="1" x="1"/>
        <item x="2"/>
        <item h="1" x="0"/>
        <item t="default"/>
      </items>
    </pivotField>
    <pivotField compact="0" outline="0" showAll="0"/>
    <pivotField compact="0" outline="0" showAll="0"/>
  </pivotFields>
  <rowFields count="2">
    <field x="7"/>
    <field x="1"/>
  </rowFields>
  <rowItems count="8">
    <i>
      <x v="2"/>
      <x v="3"/>
    </i>
    <i r="1">
      <x v="9"/>
    </i>
    <i>
      <x v="7"/>
      <x v="25"/>
    </i>
    <i>
      <x v="8"/>
      <x v="21"/>
    </i>
    <i>
      <x v="12"/>
      <x v="29"/>
    </i>
    <i>
      <x v="14"/>
      <x v="33"/>
    </i>
    <i>
      <x v="18"/>
      <x v="37"/>
    </i>
    <i>
      <x v="19"/>
      <x v="15"/>
    </i>
  </rowItems>
  <colItems count="1">
    <i/>
  </colItems>
  <pageFields count="1">
    <pageField fld="10" hier="-1"/>
  </pageFields>
  <dataFields count="1">
    <dataField name="Duração Real (dias)" fld="3" baseField="1" baseItem="3"/>
  </dataFields>
  <formats count="14">
    <format dxfId="69">
      <pivotArea dataOnly="0" labelOnly="1" grandRow="1" outline="0" fieldPosition="0"/>
    </format>
    <format dxfId="68">
      <pivotArea dataOnly="0" labelOnly="1" grandRow="1" outline="0" fieldPosition="0"/>
    </format>
    <format dxfId="67">
      <pivotArea dataOnly="0" labelOnly="1" grandRow="1" outline="0" fieldPosition="0"/>
    </format>
    <format dxfId="66">
      <pivotArea dataOnly="0" labelOnly="1" grandRow="1" outline="0" fieldPosition="0"/>
    </format>
    <format dxfId="65">
      <pivotArea type="all" dataOnly="0" outline="0" fieldPosition="0"/>
    </format>
    <format dxfId="64">
      <pivotArea dataOnly="0" labelOnly="1" grandRow="1" outline="0" fieldPosition="0"/>
    </format>
    <format dxfId="63">
      <pivotArea dataOnly="0" labelOnly="1" grandRow="1" outline="0" fieldPosition="0"/>
    </format>
    <format dxfId="62">
      <pivotArea outline="0" collapsedLevelsAreSubtotals="1" fieldPosition="0"/>
    </format>
    <format dxfId="61">
      <pivotArea type="topRight" dataOnly="0" labelOnly="1" outline="0" fieldPosition="0"/>
    </format>
    <format dxfId="60">
      <pivotArea outline="0" collapsedLevelsAreSubtotals="1" fieldPosition="0"/>
    </format>
    <format dxfId="59">
      <pivotArea outline="0" collapsedLevelsAreSubtotals="1" fieldPosition="0"/>
    </format>
    <format dxfId="58">
      <pivotArea outline="0" collapsedLevelsAreSubtotals="1" fieldPosition="0"/>
    </format>
    <format dxfId="57">
      <pivotArea outline="0" collapsedLevelsAreSubtotals="1" fieldPosition="0"/>
    </format>
    <format dxfId="56">
      <pivotArea outline="0" collapsedLevelsAreSubtotals="1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blDin_DeadLine" cacheId="0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5" indent="0" compact="0" compactData="0" gridDropZones="1" multipleFieldFilters="0" chartFormat="9">
  <location ref="A1:J33" firstHeaderRow="2" firstDataRow="2" firstDataCol="4"/>
  <pivotFields count="13">
    <pivotField axis="axisRow" compact="0" outline="0" showAll="0" includeNewItemsInFilter="1" sortType="ascending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compact="0" outline="0" showAll="0"/>
    <pivotField name="Duração" axis="axisRow" compact="0" outline="0" showAll="0" includeNewItemsInFilter="1" defaultSubtotal="0">
      <items count="11">
        <item x="7"/>
        <item x="1"/>
        <item x="6"/>
        <item x="8"/>
        <item x="10"/>
        <item x="0"/>
        <item x="2"/>
        <item x="3"/>
        <item x="4"/>
        <item x="5"/>
        <item x="9"/>
      </items>
    </pivotField>
    <pivotField axis="axisRow" compact="0" outline="0" showAll="0" includeNewItemsInFilter="1" defaultSubtotal="0">
      <items count="11">
        <item x="5"/>
        <item x="4"/>
        <item x="2"/>
        <item x="7"/>
        <item x="1"/>
        <item x="6"/>
        <item x="8"/>
        <item x="10"/>
        <item x="9"/>
        <item x="3"/>
        <item x="0"/>
      </items>
    </pivotField>
    <pivotField compact="0" numFmtId="9" outline="0" showAll="0"/>
    <pivotField compact="0" numFmtId="14" outline="0" showAll="0"/>
    <pivotField compact="0" numFmtId="14" outline="0" showAll="0"/>
    <pivotField axis="axisRow" compact="0" numFmtId="14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4">
    <field x="0"/>
    <field x="7"/>
    <field x="2"/>
    <field x="3"/>
  </rowFields>
  <rowItems count="31">
    <i>
      <x v="2"/>
      <x v="1"/>
      <x v="6"/>
      <x v="2"/>
    </i>
    <i>
      <x v="3"/>
      <x v="1"/>
      <x v="6"/>
      <x v="2"/>
    </i>
    <i>
      <x v="4"/>
      <x v="2"/>
      <x v="6"/>
      <x v="2"/>
    </i>
    <i>
      <x v="5"/>
      <x v="2"/>
      <x v="6"/>
      <x v="2"/>
    </i>
    <i>
      <x v="7"/>
      <x v="2"/>
      <x v="6"/>
      <x v="2"/>
    </i>
    <i>
      <x v="8"/>
      <x v="2"/>
      <x v="8"/>
      <x v="1"/>
    </i>
    <i>
      <x v="9"/>
      <x v="2"/>
      <x v="9"/>
      <x/>
    </i>
    <i>
      <x v="11"/>
      <x/>
      <x v="6"/>
      <x v="2"/>
    </i>
    <i>
      <x v="12"/>
      <x v="3"/>
      <x v="2"/>
      <x v="5"/>
    </i>
    <i>
      <x v="13"/>
      <x v="4"/>
      <x/>
      <x v="3"/>
    </i>
    <i>
      <x v="14"/>
      <x v="5"/>
      <x v="6"/>
      <x v="2"/>
    </i>
    <i>
      <x v="15"/>
      <x v="5"/>
      <x v="6"/>
      <x v="2"/>
    </i>
    <i>
      <x v="16"/>
      <x v="8"/>
      <x v="3"/>
      <x v="6"/>
    </i>
    <i>
      <x v="18"/>
      <x v="5"/>
      <x v="6"/>
      <x v="2"/>
    </i>
    <i>
      <x v="19"/>
      <x v="5"/>
      <x v="6"/>
      <x v="2"/>
    </i>
    <i>
      <x v="20"/>
      <x v="6"/>
      <x v="1"/>
      <x v="4"/>
    </i>
    <i>
      <x v="21"/>
      <x v="7"/>
      <x v="6"/>
      <x v="2"/>
    </i>
    <i>
      <x v="22"/>
      <x v="9"/>
      <x v="4"/>
      <x v="7"/>
    </i>
    <i>
      <x v="23"/>
      <x v="10"/>
      <x v="1"/>
      <x v="4"/>
    </i>
    <i>
      <x v="24"/>
      <x v="11"/>
      <x v="1"/>
      <x v="4"/>
    </i>
    <i>
      <x v="25"/>
      <x v="12"/>
      <x v="1"/>
      <x v="4"/>
    </i>
    <i>
      <x v="27"/>
      <x v="12"/>
      <x v="6"/>
      <x v="2"/>
    </i>
    <i>
      <x v="28"/>
      <x v="12"/>
      <x v="6"/>
      <x v="2"/>
    </i>
    <i>
      <x v="29"/>
      <x v="13"/>
      <x v="1"/>
      <x v="4"/>
    </i>
    <i>
      <x v="30"/>
      <x v="14"/>
      <x v="6"/>
      <x v="2"/>
    </i>
    <i>
      <x v="31"/>
      <x v="15"/>
      <x v="4"/>
      <x v="7"/>
    </i>
    <i>
      <x v="32"/>
      <x v="16"/>
      <x v="1"/>
      <x v="4"/>
    </i>
    <i>
      <x v="33"/>
      <x v="17"/>
      <x v="1"/>
      <x v="4"/>
    </i>
    <i>
      <x v="34"/>
      <x v="18"/>
      <x v="1"/>
      <x v="4"/>
    </i>
    <i>
      <x v="36"/>
      <x v="19"/>
      <x v="6"/>
      <x v="2"/>
    </i>
    <i>
      <x v="37"/>
      <x v="19"/>
      <x v="6"/>
      <x v="2"/>
    </i>
  </rowItems>
  <colItems count="1">
    <i/>
  </colItems>
  <chartFormats count="1">
    <chartFormat chart="5" format="0" series="1">
      <pivotArea type="data" outline="0" fieldPosition="0"/>
    </chartFormat>
  </chartFormats>
  <pivotTableStyleInfo name="PivotStyleMedium1" showRowHeaders="0" showColHeaders="1" showRowStripes="0" showColStripes="0" showLastColumn="1"/>
  <filters count="1">
    <filter fld="0" type="captionNotEndsWith" evalOrder="-1" id="3" stringValue1="*.0">
      <autoFilter ref="A1">
        <filterColumn colId="0">
          <customFilters>
            <customFilter operator="notEqual" val="**.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Tabela2" displayName="Tabela2" ref="C1:C40" totalsRowShown="0" headerRowDxfId="75" dataDxfId="73" headerRowBorderDxfId="74" tableBorderDxfId="72" totalsRowBorderDxfId="71" headerRowCellStyle="Period Headers" dataCellStyle="Activity">
  <autoFilter ref="C1:C40"/>
  <tableColumns count="1">
    <tableColumn id="1" name="Atividade" dataDxfId="70" dataCellStyle="Activ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pageSetUpPr fitToPage="1"/>
  </sheetPr>
  <dimension ref="A1:HG703"/>
  <sheetViews>
    <sheetView showGridLines="0" tabSelected="1" zoomScale="70" zoomScaleNormal="70" workbookViewId="0">
      <pane xSplit="10" ySplit="8" topLeftCell="K31" activePane="bottomRight" state="frozen"/>
      <selection pane="topRight" activeCell="K1" sqref="K1"/>
      <selection pane="bottomLeft" activeCell="A8" sqref="A8"/>
      <selection pane="bottomRight" activeCell="B10" sqref="B10:B13"/>
    </sheetView>
  </sheetViews>
  <sheetFormatPr defaultColWidth="2.75" defaultRowHeight="17.25" outlineLevelRow="1"/>
  <cols>
    <col min="1" max="1" width="1.5" style="38" customWidth="1"/>
    <col min="2" max="2" width="8.875" style="84" bestFit="1" customWidth="1"/>
    <col min="3" max="3" width="25.875" style="61" bestFit="1" customWidth="1"/>
    <col min="4" max="5" width="11.375" style="33" customWidth="1"/>
    <col min="6" max="6" width="11.375" style="62" customWidth="1"/>
    <col min="7" max="7" width="13.75" style="33" bestFit="1" customWidth="1"/>
    <col min="8" max="8" width="15.25" style="33" customWidth="1"/>
    <col min="9" max="9" width="13.625" style="33" customWidth="1"/>
    <col min="10" max="10" width="16.375" style="33" bestFit="1" customWidth="1"/>
    <col min="11" max="14" width="11.375" style="33" customWidth="1"/>
    <col min="15" max="35" width="3.625" style="33" customWidth="1"/>
    <col min="36" max="215" width="3.625" style="38" customWidth="1"/>
    <col min="216" max="16384" width="2.75" style="38"/>
  </cols>
  <sheetData>
    <row r="1" spans="2:215" ht="22.5" hidden="1" customHeight="1">
      <c r="D1" s="79">
        <f ca="1">(I1-G1)+1</f>
        <v>0</v>
      </c>
      <c r="E1" s="79">
        <f ca="1">(J1-H1)+1</f>
        <v>0</v>
      </c>
      <c r="I1" s="79">
        <f ca="1">(G1+ROUNDUP(D1,0)-1)</f>
        <v>16</v>
      </c>
      <c r="J1" s="79">
        <f ca="1">(H1+ROUNDUP(E1,0))-1</f>
        <v>22</v>
      </c>
      <c r="K1" s="33" t="str">
        <f ca="1">IF(F1=1,"Concluído",IF(AND(J1&lt;TODAY(),F16&lt;1),"Em atraso","Em andamento"))</f>
        <v>Em atraso</v>
      </c>
    </row>
    <row r="2" spans="2:215" s="27" customFormat="1" ht="21" customHeight="1">
      <c r="B2" s="85"/>
      <c r="C2" s="28"/>
      <c r="D2" s="29"/>
      <c r="E2" s="29"/>
      <c r="F2" s="30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</row>
    <row r="3" spans="2:215" ht="30" customHeight="1">
      <c r="B3" s="91" t="s">
        <v>35</v>
      </c>
      <c r="C3" s="91"/>
      <c r="D3" s="91"/>
      <c r="E3" s="91"/>
      <c r="F3" s="91"/>
      <c r="G3" s="91"/>
      <c r="H3" s="92" t="s">
        <v>1</v>
      </c>
      <c r="I3" s="92"/>
      <c r="J3" s="31">
        <v>9</v>
      </c>
      <c r="K3" s="32"/>
      <c r="L3" s="32"/>
      <c r="M3" s="32"/>
      <c r="O3" s="34"/>
      <c r="P3" s="35" t="s">
        <v>23</v>
      </c>
      <c r="Q3" s="29"/>
      <c r="R3" s="29"/>
      <c r="S3" s="29"/>
      <c r="T3" s="36"/>
      <c r="U3" s="35" t="s">
        <v>0</v>
      </c>
      <c r="V3" s="27"/>
      <c r="W3" s="68"/>
      <c r="X3" s="37" t="s">
        <v>57</v>
      </c>
      <c r="Y3" s="38"/>
      <c r="AA3" s="38"/>
      <c r="AI3" s="38"/>
    </row>
    <row r="4" spans="2:215" ht="3" customHeight="1">
      <c r="B4" s="91"/>
      <c r="C4" s="91"/>
      <c r="D4" s="91"/>
      <c r="E4" s="91"/>
      <c r="F4" s="91"/>
      <c r="G4" s="91"/>
      <c r="O4" s="29"/>
      <c r="P4" s="29"/>
      <c r="Q4" s="29"/>
      <c r="R4" s="29"/>
      <c r="S4" s="29"/>
      <c r="T4" s="29"/>
      <c r="U4" s="29"/>
      <c r="V4" s="29"/>
      <c r="W4" s="29"/>
      <c r="X4" s="29"/>
      <c r="AC4" s="38"/>
      <c r="AD4" s="38"/>
      <c r="AE4" s="38"/>
      <c r="AF4" s="38"/>
      <c r="AG4" s="38"/>
      <c r="AH4" s="38"/>
      <c r="AI4" s="38"/>
    </row>
    <row r="5" spans="2:215" ht="30" customHeight="1">
      <c r="B5" s="91"/>
      <c r="C5" s="91"/>
      <c r="D5" s="91"/>
      <c r="E5" s="91"/>
      <c r="F5" s="91"/>
      <c r="G5" s="91"/>
      <c r="H5" s="92" t="s">
        <v>56</v>
      </c>
      <c r="I5" s="92"/>
      <c r="J5" s="39">
        <v>43746</v>
      </c>
      <c r="K5" s="40"/>
      <c r="L5" s="40"/>
      <c r="M5" s="40"/>
      <c r="O5" s="41"/>
      <c r="P5" s="35" t="s">
        <v>2</v>
      </c>
      <c r="Q5" s="27"/>
      <c r="R5" s="27"/>
      <c r="S5" s="27"/>
      <c r="T5" s="27"/>
      <c r="U5" s="27"/>
      <c r="V5" s="27"/>
      <c r="W5" s="69"/>
      <c r="X5" s="37" t="s">
        <v>58</v>
      </c>
      <c r="Y5" s="38"/>
      <c r="Z5" s="38"/>
      <c r="AA5" s="38"/>
      <c r="AE5" s="38"/>
      <c r="AF5" s="38"/>
      <c r="AG5" s="38"/>
      <c r="AH5" s="38"/>
      <c r="AI5" s="38"/>
      <c r="AR5" s="33"/>
      <c r="AS5" s="33"/>
      <c r="AT5" s="33"/>
      <c r="AU5" s="33"/>
      <c r="AV5" s="33"/>
    </row>
    <row r="6" spans="2:215" ht="3" customHeight="1">
      <c r="B6" s="91"/>
      <c r="C6" s="91"/>
      <c r="D6" s="91"/>
      <c r="E6" s="91"/>
      <c r="F6" s="91"/>
      <c r="G6" s="91"/>
      <c r="H6" s="42"/>
      <c r="I6" s="42"/>
      <c r="J6" s="42"/>
      <c r="K6" s="42"/>
      <c r="L6" s="42"/>
      <c r="M6" s="42"/>
      <c r="N6" s="43"/>
      <c r="O6" s="29"/>
      <c r="P6" s="29"/>
      <c r="Q6" s="29"/>
      <c r="R6" s="29"/>
      <c r="S6" s="29"/>
      <c r="T6" s="29"/>
      <c r="U6" s="29"/>
      <c r="V6" s="29"/>
      <c r="W6" s="29"/>
      <c r="X6" s="29"/>
      <c r="BA6" s="33"/>
      <c r="BB6" s="33"/>
      <c r="BC6" s="33"/>
    </row>
    <row r="7" spans="2:215" s="27" customFormat="1" ht="102" customHeight="1">
      <c r="B7" s="86" t="s">
        <v>44</v>
      </c>
      <c r="C7" s="82" t="s">
        <v>45</v>
      </c>
      <c r="D7" s="63" t="s">
        <v>114</v>
      </c>
      <c r="E7" s="63" t="s">
        <v>47</v>
      </c>
      <c r="F7" s="63" t="s">
        <v>48</v>
      </c>
      <c r="G7" s="63" t="s">
        <v>112</v>
      </c>
      <c r="H7" s="63" t="s">
        <v>50</v>
      </c>
      <c r="I7" s="63" t="s">
        <v>113</v>
      </c>
      <c r="J7" s="63" t="s">
        <v>52</v>
      </c>
      <c r="K7" s="63" t="s">
        <v>53</v>
      </c>
      <c r="L7" s="63" t="s">
        <v>54</v>
      </c>
      <c r="M7" s="63" t="s">
        <v>37</v>
      </c>
      <c r="N7" s="63" t="s">
        <v>55</v>
      </c>
      <c r="O7" s="44"/>
      <c r="P7" s="64">
        <f>$J$5</f>
        <v>43746</v>
      </c>
      <c r="Q7" s="65">
        <f>P7+1</f>
        <v>43747</v>
      </c>
      <c r="R7" s="64">
        <f t="shared" ref="R7:BW7" si="0">Q7+1</f>
        <v>43748</v>
      </c>
      <c r="S7" s="64">
        <f t="shared" si="0"/>
        <v>43749</v>
      </c>
      <c r="T7" s="64">
        <f t="shared" si="0"/>
        <v>43750</v>
      </c>
      <c r="U7" s="64">
        <f t="shared" si="0"/>
        <v>43751</v>
      </c>
      <c r="V7" s="64">
        <f t="shared" si="0"/>
        <v>43752</v>
      </c>
      <c r="W7" s="64">
        <f t="shared" si="0"/>
        <v>43753</v>
      </c>
      <c r="X7" s="64">
        <f t="shared" si="0"/>
        <v>43754</v>
      </c>
      <c r="Y7" s="64">
        <f t="shared" si="0"/>
        <v>43755</v>
      </c>
      <c r="Z7" s="64">
        <f t="shared" si="0"/>
        <v>43756</v>
      </c>
      <c r="AA7" s="64">
        <f t="shared" si="0"/>
        <v>43757</v>
      </c>
      <c r="AB7" s="64">
        <f t="shared" si="0"/>
        <v>43758</v>
      </c>
      <c r="AC7" s="64">
        <f t="shared" si="0"/>
        <v>43759</v>
      </c>
      <c r="AD7" s="64">
        <f t="shared" si="0"/>
        <v>43760</v>
      </c>
      <c r="AE7" s="64">
        <f t="shared" si="0"/>
        <v>43761</v>
      </c>
      <c r="AF7" s="64">
        <f t="shared" si="0"/>
        <v>43762</v>
      </c>
      <c r="AG7" s="64">
        <f t="shared" si="0"/>
        <v>43763</v>
      </c>
      <c r="AH7" s="64">
        <f t="shared" si="0"/>
        <v>43764</v>
      </c>
      <c r="AI7" s="64">
        <f t="shared" si="0"/>
        <v>43765</v>
      </c>
      <c r="AJ7" s="64">
        <f t="shared" si="0"/>
        <v>43766</v>
      </c>
      <c r="AK7" s="64">
        <f t="shared" si="0"/>
        <v>43767</v>
      </c>
      <c r="AL7" s="64">
        <f t="shared" si="0"/>
        <v>43768</v>
      </c>
      <c r="AM7" s="64">
        <f t="shared" si="0"/>
        <v>43769</v>
      </c>
      <c r="AN7" s="64">
        <f t="shared" si="0"/>
        <v>43770</v>
      </c>
      <c r="AO7" s="64">
        <f t="shared" si="0"/>
        <v>43771</v>
      </c>
      <c r="AP7" s="64">
        <f t="shared" si="0"/>
        <v>43772</v>
      </c>
      <c r="AQ7" s="64">
        <f t="shared" si="0"/>
        <v>43773</v>
      </c>
      <c r="AR7" s="64">
        <f t="shared" si="0"/>
        <v>43774</v>
      </c>
      <c r="AS7" s="64">
        <f t="shared" si="0"/>
        <v>43775</v>
      </c>
      <c r="AT7" s="64">
        <f t="shared" si="0"/>
        <v>43776</v>
      </c>
      <c r="AU7" s="64">
        <f t="shared" si="0"/>
        <v>43777</v>
      </c>
      <c r="AV7" s="64">
        <f t="shared" si="0"/>
        <v>43778</v>
      </c>
      <c r="AW7" s="64">
        <f t="shared" si="0"/>
        <v>43779</v>
      </c>
      <c r="AX7" s="64">
        <f t="shared" si="0"/>
        <v>43780</v>
      </c>
      <c r="AY7" s="64">
        <f t="shared" si="0"/>
        <v>43781</v>
      </c>
      <c r="AZ7" s="64">
        <f t="shared" si="0"/>
        <v>43782</v>
      </c>
      <c r="BA7" s="64">
        <f t="shared" si="0"/>
        <v>43783</v>
      </c>
      <c r="BB7" s="64">
        <f t="shared" si="0"/>
        <v>43784</v>
      </c>
      <c r="BC7" s="64">
        <f t="shared" si="0"/>
        <v>43785</v>
      </c>
      <c r="BD7" s="64">
        <f t="shared" si="0"/>
        <v>43786</v>
      </c>
      <c r="BE7" s="64">
        <f t="shared" si="0"/>
        <v>43787</v>
      </c>
      <c r="BF7" s="64">
        <f t="shared" si="0"/>
        <v>43788</v>
      </c>
      <c r="BG7" s="64">
        <f t="shared" si="0"/>
        <v>43789</v>
      </c>
      <c r="BH7" s="64">
        <f t="shared" si="0"/>
        <v>43790</v>
      </c>
      <c r="BI7" s="64">
        <f t="shared" si="0"/>
        <v>43791</v>
      </c>
      <c r="BJ7" s="64">
        <f t="shared" si="0"/>
        <v>43792</v>
      </c>
      <c r="BK7" s="64">
        <f t="shared" si="0"/>
        <v>43793</v>
      </c>
      <c r="BL7" s="64">
        <f t="shared" si="0"/>
        <v>43794</v>
      </c>
      <c r="BM7" s="64">
        <f t="shared" si="0"/>
        <v>43795</v>
      </c>
      <c r="BN7" s="64">
        <f t="shared" si="0"/>
        <v>43796</v>
      </c>
      <c r="BO7" s="64">
        <f t="shared" si="0"/>
        <v>43797</v>
      </c>
      <c r="BP7" s="64">
        <f t="shared" si="0"/>
        <v>43798</v>
      </c>
      <c r="BQ7" s="64">
        <f t="shared" si="0"/>
        <v>43799</v>
      </c>
      <c r="BR7" s="64">
        <f t="shared" si="0"/>
        <v>43800</v>
      </c>
      <c r="BS7" s="64">
        <f t="shared" si="0"/>
        <v>43801</v>
      </c>
      <c r="BT7" s="64">
        <f t="shared" si="0"/>
        <v>43802</v>
      </c>
      <c r="BU7" s="64">
        <f t="shared" si="0"/>
        <v>43803</v>
      </c>
      <c r="BV7" s="64">
        <f t="shared" si="0"/>
        <v>43804</v>
      </c>
      <c r="BW7" s="64">
        <f t="shared" si="0"/>
        <v>43805</v>
      </c>
      <c r="BX7" s="64">
        <f t="shared" ref="BX7" si="1">BW7+1</f>
        <v>43806</v>
      </c>
      <c r="BY7" s="64">
        <f t="shared" ref="BY7" si="2">BX7+1</f>
        <v>43807</v>
      </c>
      <c r="BZ7" s="64">
        <f t="shared" ref="BZ7" si="3">BY7+1</f>
        <v>43808</v>
      </c>
      <c r="CA7" s="64">
        <f t="shared" ref="CA7" si="4">BZ7+1</f>
        <v>43809</v>
      </c>
      <c r="CB7" s="64">
        <f t="shared" ref="CB7" si="5">CA7+1</f>
        <v>43810</v>
      </c>
      <c r="CC7" s="64">
        <f t="shared" ref="CC7" si="6">CB7+1</f>
        <v>43811</v>
      </c>
      <c r="CD7" s="64">
        <f t="shared" ref="CD7" si="7">CC7+1</f>
        <v>43812</v>
      </c>
      <c r="CE7" s="64">
        <f t="shared" ref="CE7" si="8">CD7+1</f>
        <v>43813</v>
      </c>
      <c r="CF7" s="64">
        <f t="shared" ref="CF7" si="9">CE7+1</f>
        <v>43814</v>
      </c>
      <c r="CG7" s="64">
        <f t="shared" ref="CG7" si="10">CF7+1</f>
        <v>43815</v>
      </c>
      <c r="CH7" s="64">
        <f t="shared" ref="CH7" si="11">CG7+1</f>
        <v>43816</v>
      </c>
      <c r="CI7" s="64">
        <f t="shared" ref="CI7" si="12">CH7+1</f>
        <v>43817</v>
      </c>
      <c r="CJ7" s="64">
        <f t="shared" ref="CJ7" si="13">CI7+1</f>
        <v>43818</v>
      </c>
      <c r="CK7" s="64">
        <f t="shared" ref="CK7" si="14">CJ7+1</f>
        <v>43819</v>
      </c>
      <c r="CL7" s="64">
        <f t="shared" ref="CL7" si="15">CK7+1</f>
        <v>43820</v>
      </c>
      <c r="CM7" s="64">
        <f t="shared" ref="CM7" si="16">CL7+1</f>
        <v>43821</v>
      </c>
      <c r="CN7" s="64">
        <f t="shared" ref="CN7" si="17">CM7+1</f>
        <v>43822</v>
      </c>
      <c r="CO7" s="64">
        <f t="shared" ref="CO7" si="18">CN7+1</f>
        <v>43823</v>
      </c>
      <c r="CP7" s="64">
        <f t="shared" ref="CP7" si="19">CO7+1</f>
        <v>43824</v>
      </c>
      <c r="CQ7" s="64">
        <f t="shared" ref="CQ7" si="20">CP7+1</f>
        <v>43825</v>
      </c>
      <c r="CR7" s="64">
        <f t="shared" ref="CR7" si="21">CQ7+1</f>
        <v>43826</v>
      </c>
      <c r="CS7" s="64">
        <f t="shared" ref="CS7" si="22">CR7+1</f>
        <v>43827</v>
      </c>
      <c r="CT7" s="64">
        <f t="shared" ref="CT7" si="23">CS7+1</f>
        <v>43828</v>
      </c>
      <c r="CU7" s="64">
        <f t="shared" ref="CU7" si="24">CT7+1</f>
        <v>43829</v>
      </c>
      <c r="CV7" s="64">
        <f t="shared" ref="CV7" si="25">CU7+1</f>
        <v>43830</v>
      </c>
      <c r="CW7" s="64">
        <f t="shared" ref="CW7" si="26">CV7+1</f>
        <v>43831</v>
      </c>
      <c r="CX7" s="64">
        <f t="shared" ref="CX7" si="27">CW7+1</f>
        <v>43832</v>
      </c>
      <c r="CY7" s="64">
        <f t="shared" ref="CY7" si="28">CX7+1</f>
        <v>43833</v>
      </c>
      <c r="CZ7" s="64">
        <f t="shared" ref="CZ7" si="29">CY7+1</f>
        <v>43834</v>
      </c>
      <c r="DA7" s="64">
        <f t="shared" ref="DA7" si="30">CZ7+1</f>
        <v>43835</v>
      </c>
      <c r="DB7" s="64">
        <f t="shared" ref="DB7" si="31">DA7+1</f>
        <v>43836</v>
      </c>
      <c r="DC7" s="64">
        <f t="shared" ref="DC7" si="32">DB7+1</f>
        <v>43837</v>
      </c>
      <c r="DD7" s="64">
        <f t="shared" ref="DD7" si="33">DC7+1</f>
        <v>43838</v>
      </c>
      <c r="DE7" s="64">
        <f t="shared" ref="DE7" si="34">DD7+1</f>
        <v>43839</v>
      </c>
      <c r="DF7" s="64">
        <f t="shared" ref="DF7" si="35">DE7+1</f>
        <v>43840</v>
      </c>
      <c r="DG7" s="64">
        <f t="shared" ref="DG7" si="36">DF7+1</f>
        <v>43841</v>
      </c>
      <c r="DH7" s="64">
        <f t="shared" ref="DH7" si="37">DG7+1</f>
        <v>43842</v>
      </c>
      <c r="DI7" s="64">
        <f t="shared" ref="DI7" si="38">DH7+1</f>
        <v>43843</v>
      </c>
      <c r="DJ7" s="64">
        <f t="shared" ref="DJ7" si="39">DI7+1</f>
        <v>43844</v>
      </c>
      <c r="DK7" s="64">
        <f t="shared" ref="DK7" si="40">DJ7+1</f>
        <v>43845</v>
      </c>
      <c r="DL7" s="64">
        <f t="shared" ref="DL7" si="41">DK7+1</f>
        <v>43846</v>
      </c>
      <c r="DM7" s="64">
        <f t="shared" ref="DM7" si="42">DL7+1</f>
        <v>43847</v>
      </c>
      <c r="DN7" s="64">
        <f t="shared" ref="DN7" si="43">DM7+1</f>
        <v>43848</v>
      </c>
      <c r="DO7" s="64">
        <f t="shared" ref="DO7" si="44">DN7+1</f>
        <v>43849</v>
      </c>
      <c r="DP7" s="64">
        <f t="shared" ref="DP7" si="45">DO7+1</f>
        <v>43850</v>
      </c>
      <c r="DQ7" s="64">
        <f t="shared" ref="DQ7" si="46">DP7+1</f>
        <v>43851</v>
      </c>
      <c r="DR7" s="64">
        <f t="shared" ref="DR7" si="47">DQ7+1</f>
        <v>43852</v>
      </c>
      <c r="DS7" s="64">
        <f t="shared" ref="DS7" si="48">DR7+1</f>
        <v>43853</v>
      </c>
      <c r="DT7" s="64">
        <f t="shared" ref="DT7" si="49">DS7+1</f>
        <v>43854</v>
      </c>
      <c r="DU7" s="64">
        <f t="shared" ref="DU7" si="50">DT7+1</f>
        <v>43855</v>
      </c>
      <c r="DV7" s="64">
        <f t="shared" ref="DV7" si="51">DU7+1</f>
        <v>43856</v>
      </c>
      <c r="DW7" s="64">
        <f t="shared" ref="DW7" si="52">DV7+1</f>
        <v>43857</v>
      </c>
      <c r="DX7" s="64">
        <f t="shared" ref="DX7" si="53">DW7+1</f>
        <v>43858</v>
      </c>
      <c r="DY7" s="64">
        <f t="shared" ref="DY7" si="54">DX7+1</f>
        <v>43859</v>
      </c>
      <c r="DZ7" s="64">
        <f t="shared" ref="DZ7" si="55">DY7+1</f>
        <v>43860</v>
      </c>
      <c r="EA7" s="64">
        <f t="shared" ref="EA7" si="56">DZ7+1</f>
        <v>43861</v>
      </c>
      <c r="EB7" s="64">
        <f t="shared" ref="EB7" si="57">EA7+1</f>
        <v>43862</v>
      </c>
      <c r="EC7" s="64">
        <f t="shared" ref="EC7" si="58">EB7+1</f>
        <v>43863</v>
      </c>
      <c r="ED7" s="64">
        <f t="shared" ref="ED7" si="59">EC7+1</f>
        <v>43864</v>
      </c>
      <c r="EE7" s="64">
        <f t="shared" ref="EE7" si="60">ED7+1</f>
        <v>43865</v>
      </c>
      <c r="EF7" s="64">
        <f t="shared" ref="EF7" si="61">EE7+1</f>
        <v>43866</v>
      </c>
      <c r="EG7" s="64">
        <f t="shared" ref="EG7" si="62">EF7+1</f>
        <v>43867</v>
      </c>
      <c r="EH7" s="64">
        <f t="shared" ref="EH7" si="63">EG7+1</f>
        <v>43868</v>
      </c>
      <c r="EI7" s="64">
        <f t="shared" ref="EI7" si="64">EH7+1</f>
        <v>43869</v>
      </c>
      <c r="EJ7" s="64">
        <f t="shared" ref="EJ7" si="65">EI7+1</f>
        <v>43870</v>
      </c>
      <c r="EK7" s="64">
        <f t="shared" ref="EK7" si="66">EJ7+1</f>
        <v>43871</v>
      </c>
      <c r="EL7" s="64">
        <f t="shared" ref="EL7" si="67">EK7+1</f>
        <v>43872</v>
      </c>
      <c r="EM7" s="64">
        <f t="shared" ref="EM7" si="68">EL7+1</f>
        <v>43873</v>
      </c>
      <c r="EN7" s="64">
        <f t="shared" ref="EN7" si="69">EM7+1</f>
        <v>43874</v>
      </c>
      <c r="EO7" s="64">
        <f t="shared" ref="EO7" si="70">EN7+1</f>
        <v>43875</v>
      </c>
      <c r="EP7" s="64">
        <f t="shared" ref="EP7" si="71">EO7+1</f>
        <v>43876</v>
      </c>
      <c r="EQ7" s="64">
        <f t="shared" ref="EQ7" si="72">EP7+1</f>
        <v>43877</v>
      </c>
      <c r="ER7" s="64">
        <f t="shared" ref="ER7" si="73">EQ7+1</f>
        <v>43878</v>
      </c>
      <c r="ES7" s="64">
        <f t="shared" ref="ES7" si="74">ER7+1</f>
        <v>43879</v>
      </c>
      <c r="ET7" s="64">
        <f t="shared" ref="ET7" si="75">ES7+1</f>
        <v>43880</v>
      </c>
      <c r="EU7" s="64">
        <f t="shared" ref="EU7" si="76">ET7+1</f>
        <v>43881</v>
      </c>
      <c r="EV7" s="64">
        <f t="shared" ref="EV7" si="77">EU7+1</f>
        <v>43882</v>
      </c>
      <c r="EW7" s="64">
        <f t="shared" ref="EW7" si="78">EV7+1</f>
        <v>43883</v>
      </c>
      <c r="EX7" s="64">
        <f t="shared" ref="EX7" si="79">EW7+1</f>
        <v>43884</v>
      </c>
      <c r="EY7" s="64">
        <f t="shared" ref="EY7" si="80">EX7+1</f>
        <v>43885</v>
      </c>
      <c r="EZ7" s="64">
        <f t="shared" ref="EZ7" si="81">EY7+1</f>
        <v>43886</v>
      </c>
      <c r="FA7" s="64">
        <f t="shared" ref="FA7" si="82">EZ7+1</f>
        <v>43887</v>
      </c>
      <c r="FB7" s="64">
        <f t="shared" ref="FB7" si="83">FA7+1</f>
        <v>43888</v>
      </c>
      <c r="FC7" s="64">
        <f t="shared" ref="FC7" si="84">FB7+1</f>
        <v>43889</v>
      </c>
      <c r="FD7" s="64">
        <f t="shared" ref="FD7" si="85">FC7+1</f>
        <v>43890</v>
      </c>
      <c r="FE7" s="64">
        <f t="shared" ref="FE7" si="86">FD7+1</f>
        <v>43891</v>
      </c>
      <c r="FF7" s="64">
        <f t="shared" ref="FF7" si="87">FE7+1</f>
        <v>43892</v>
      </c>
      <c r="FG7" s="64">
        <f t="shared" ref="FG7" si="88">FF7+1</f>
        <v>43893</v>
      </c>
      <c r="FH7" s="64">
        <f t="shared" ref="FH7" si="89">FG7+1</f>
        <v>43894</v>
      </c>
      <c r="FI7" s="64">
        <f t="shared" ref="FI7" si="90">FH7+1</f>
        <v>43895</v>
      </c>
      <c r="FJ7" s="64">
        <f t="shared" ref="FJ7" si="91">FI7+1</f>
        <v>43896</v>
      </c>
      <c r="FK7" s="64">
        <f t="shared" ref="FK7" si="92">FJ7+1</f>
        <v>43897</v>
      </c>
      <c r="FL7" s="64">
        <f t="shared" ref="FL7" si="93">FK7+1</f>
        <v>43898</v>
      </c>
      <c r="FM7" s="64">
        <f t="shared" ref="FM7" si="94">FL7+1</f>
        <v>43899</v>
      </c>
      <c r="FN7" s="64">
        <f t="shared" ref="FN7" si="95">FM7+1</f>
        <v>43900</v>
      </c>
      <c r="FO7" s="64">
        <f t="shared" ref="FO7" si="96">FN7+1</f>
        <v>43901</v>
      </c>
      <c r="FP7" s="64">
        <f t="shared" ref="FP7" si="97">FO7+1</f>
        <v>43902</v>
      </c>
      <c r="FQ7" s="64">
        <f t="shared" ref="FQ7" si="98">FP7+1</f>
        <v>43903</v>
      </c>
      <c r="FR7" s="64">
        <f t="shared" ref="FR7" si="99">FQ7+1</f>
        <v>43904</v>
      </c>
      <c r="FS7" s="64">
        <f t="shared" ref="FS7" si="100">FR7+1</f>
        <v>43905</v>
      </c>
      <c r="FT7" s="64">
        <f t="shared" ref="FT7" si="101">FS7+1</f>
        <v>43906</v>
      </c>
      <c r="FU7" s="64">
        <f t="shared" ref="FU7" si="102">FT7+1</f>
        <v>43907</v>
      </c>
      <c r="FV7" s="64">
        <f t="shared" ref="FV7" si="103">FU7+1</f>
        <v>43908</v>
      </c>
      <c r="FW7" s="64">
        <f t="shared" ref="FW7" si="104">FV7+1</f>
        <v>43909</v>
      </c>
      <c r="FX7" s="64">
        <f t="shared" ref="FX7" si="105">FW7+1</f>
        <v>43910</v>
      </c>
      <c r="FY7" s="64">
        <f t="shared" ref="FY7" si="106">FX7+1</f>
        <v>43911</v>
      </c>
      <c r="FZ7" s="64">
        <f t="shared" ref="FZ7" si="107">FY7+1</f>
        <v>43912</v>
      </c>
      <c r="GA7" s="64">
        <f t="shared" ref="GA7" si="108">FZ7+1</f>
        <v>43913</v>
      </c>
      <c r="GB7" s="64">
        <f t="shared" ref="GB7" si="109">GA7+1</f>
        <v>43914</v>
      </c>
      <c r="GC7" s="64">
        <f t="shared" ref="GC7" si="110">GB7+1</f>
        <v>43915</v>
      </c>
      <c r="GD7" s="64">
        <f t="shared" ref="GD7" si="111">GC7+1</f>
        <v>43916</v>
      </c>
      <c r="GE7" s="64">
        <f t="shared" ref="GE7" si="112">GD7+1</f>
        <v>43917</v>
      </c>
      <c r="GF7" s="64">
        <f t="shared" ref="GF7" si="113">GE7+1</f>
        <v>43918</v>
      </c>
      <c r="GG7" s="64">
        <f t="shared" ref="GG7" si="114">GF7+1</f>
        <v>43919</v>
      </c>
      <c r="GH7" s="64">
        <f t="shared" ref="GH7" si="115">GG7+1</f>
        <v>43920</v>
      </c>
      <c r="GI7" s="64">
        <f t="shared" ref="GI7" si="116">GH7+1</f>
        <v>43921</v>
      </c>
      <c r="GJ7" s="64">
        <f t="shared" ref="GJ7" si="117">GI7+1</f>
        <v>43922</v>
      </c>
      <c r="GK7" s="64">
        <f t="shared" ref="GK7" si="118">GJ7+1</f>
        <v>43923</v>
      </c>
      <c r="GL7" s="64">
        <f t="shared" ref="GL7" si="119">GK7+1</f>
        <v>43924</v>
      </c>
      <c r="GM7" s="64">
        <f t="shared" ref="GM7" si="120">GL7+1</f>
        <v>43925</v>
      </c>
      <c r="GN7" s="64">
        <f t="shared" ref="GN7" si="121">GM7+1</f>
        <v>43926</v>
      </c>
      <c r="GO7" s="64">
        <f t="shared" ref="GO7" si="122">GN7+1</f>
        <v>43927</v>
      </c>
      <c r="GP7" s="64">
        <f t="shared" ref="GP7" si="123">GO7+1</f>
        <v>43928</v>
      </c>
      <c r="GQ7" s="64">
        <f t="shared" ref="GQ7" si="124">GP7+1</f>
        <v>43929</v>
      </c>
      <c r="GR7" s="64">
        <f t="shared" ref="GR7" si="125">GQ7+1</f>
        <v>43930</v>
      </c>
      <c r="GS7" s="64">
        <f t="shared" ref="GS7" si="126">GR7+1</f>
        <v>43931</v>
      </c>
      <c r="GT7" s="64">
        <f t="shared" ref="GT7" si="127">GS7+1</f>
        <v>43932</v>
      </c>
      <c r="GU7" s="64">
        <f t="shared" ref="GU7" si="128">GT7+1</f>
        <v>43933</v>
      </c>
      <c r="GV7" s="64">
        <f t="shared" ref="GV7" si="129">GU7+1</f>
        <v>43934</v>
      </c>
      <c r="GW7" s="64">
        <f t="shared" ref="GW7" si="130">GV7+1</f>
        <v>43935</v>
      </c>
      <c r="GX7" s="64">
        <f t="shared" ref="GX7" si="131">GW7+1</f>
        <v>43936</v>
      </c>
      <c r="GY7" s="64">
        <f t="shared" ref="GY7" si="132">GX7+1</f>
        <v>43937</v>
      </c>
      <c r="GZ7" s="64">
        <f t="shared" ref="GZ7" si="133">GY7+1</f>
        <v>43938</v>
      </c>
      <c r="HA7" s="64">
        <f t="shared" ref="HA7" si="134">GZ7+1</f>
        <v>43939</v>
      </c>
      <c r="HB7" s="64">
        <f t="shared" ref="HB7" si="135">HA7+1</f>
        <v>43940</v>
      </c>
      <c r="HC7" s="64">
        <f t="shared" ref="HC7" si="136">HB7+1</f>
        <v>43941</v>
      </c>
      <c r="HD7" s="64">
        <f t="shared" ref="HD7" si="137">HC7+1</f>
        <v>43942</v>
      </c>
      <c r="HE7" s="64">
        <f t="shared" ref="HE7" si="138">HD7+1</f>
        <v>43943</v>
      </c>
      <c r="HF7" s="64">
        <f t="shared" ref="HF7" si="139">HE7+1</f>
        <v>43944</v>
      </c>
      <c r="HG7" s="64">
        <f t="shared" ref="HG7" si="140">HF7+1</f>
        <v>43945</v>
      </c>
    </row>
    <row r="8" spans="2:215" s="27" customFormat="1" ht="18.75" customHeight="1">
      <c r="B8" s="87" t="s">
        <v>34</v>
      </c>
      <c r="C8" s="80" t="str">
        <f>"Projeto " &amp;B3</f>
        <v>Projeto CMA</v>
      </c>
      <c r="D8" s="46">
        <f>(I8-G8)+1</f>
        <v>42</v>
      </c>
      <c r="E8" s="46">
        <f>(J8-H8)+1</f>
        <v>42</v>
      </c>
      <c r="F8" s="47" t="e">
        <f>(SUMPRODUCT(E10:E13,F10:F13,E15:E17,F15:F17,E19:E24,F19:F24,E26:E34,F26:F34,E36:E43,F36:F43,E46:E47,F46:F47))/SUM(E10:E13,E15:E17,E19:E24,E26:E34,E36:E43,E46:E47)</f>
        <v>#VALUE!</v>
      </c>
      <c r="G8" s="48">
        <f>SMALL($G$9:$G$47,1)</f>
        <v>43742</v>
      </c>
      <c r="H8" s="48">
        <f>SMALL($H$9:$H$47,1)</f>
        <v>43742</v>
      </c>
      <c r="I8" s="48">
        <f>LARGE($I$9:$I$47,1)</f>
        <v>43783</v>
      </c>
      <c r="J8" s="48">
        <f>LARGE($J$9:$J$47,1)</f>
        <v>43783</v>
      </c>
      <c r="K8" s="48"/>
      <c r="L8" s="48"/>
      <c r="M8" s="48"/>
      <c r="N8" s="49"/>
      <c r="O8" s="50"/>
      <c r="P8" s="51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</row>
    <row r="9" spans="2:215" s="27" customFormat="1" ht="18.95" customHeight="1">
      <c r="B9" s="88" t="s">
        <v>29</v>
      </c>
      <c r="C9" s="70" t="s">
        <v>36</v>
      </c>
      <c r="D9" s="52">
        <f>(I9-G9)+1</f>
        <v>2</v>
      </c>
      <c r="E9" s="52">
        <f>(J9-H9)+1</f>
        <v>2</v>
      </c>
      <c r="F9" s="53">
        <v>1</v>
      </c>
      <c r="G9" s="54">
        <v>43746</v>
      </c>
      <c r="H9" s="54">
        <v>43746</v>
      </c>
      <c r="I9" s="54">
        <v>43747</v>
      </c>
      <c r="J9" s="54">
        <v>43747</v>
      </c>
      <c r="K9" s="54"/>
      <c r="L9" s="54"/>
      <c r="M9" s="54"/>
      <c r="N9" s="55"/>
      <c r="O9" s="29"/>
      <c r="P9" s="51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</row>
    <row r="10" spans="2:215" ht="18.75" customHeight="1" outlineLevel="1">
      <c r="B10" s="89" t="s">
        <v>3</v>
      </c>
      <c r="C10" s="71" t="s">
        <v>42</v>
      </c>
      <c r="D10" s="56">
        <v>0.5</v>
      </c>
      <c r="E10" s="56">
        <v>0.5</v>
      </c>
      <c r="F10" s="57">
        <v>0</v>
      </c>
      <c r="G10" s="58">
        <v>43746</v>
      </c>
      <c r="H10" s="58">
        <v>43746</v>
      </c>
      <c r="I10" s="58">
        <f t="shared" ref="I10" si="141">(G10+ROUNDUP(D10,0)-1)</f>
        <v>43746</v>
      </c>
      <c r="J10" s="58">
        <f t="shared" ref="J10" si="142">(H10+ROUNDUP(E10,0))-1</f>
        <v>43746</v>
      </c>
      <c r="K10" s="58" t="str">
        <f ca="1">IF(F10=1,"Concluído",IF(AND(J10&lt;TODAY(),F10&lt;1),"Em atraso","Em andamento"))</f>
        <v>Em atraso</v>
      </c>
      <c r="L10" s="58" t="s">
        <v>26</v>
      </c>
      <c r="M10" s="58" t="s">
        <v>38</v>
      </c>
      <c r="N10" s="5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</row>
    <row r="11" spans="2:215" ht="18.95" customHeight="1" outlineLevel="1">
      <c r="B11" s="89" t="s">
        <v>6</v>
      </c>
      <c r="C11" s="71" t="s">
        <v>40</v>
      </c>
      <c r="D11" s="56">
        <v>0.5</v>
      </c>
      <c r="E11" s="56">
        <v>0.5</v>
      </c>
      <c r="F11" s="57">
        <v>0</v>
      </c>
      <c r="G11" s="58">
        <v>43746</v>
      </c>
      <c r="H11" s="58">
        <v>43746</v>
      </c>
      <c r="I11" s="58">
        <f t="shared" ref="I11:I13" si="143">(G11+ROUNDUP(D11,0)-1)</f>
        <v>43746</v>
      </c>
      <c r="J11" s="58">
        <f t="shared" ref="J11:J47" si="144">(H11+ROUNDUP(E11,0))-1</f>
        <v>43746</v>
      </c>
      <c r="K11" s="58" t="str">
        <f t="shared" ref="K11:K47" ca="1" si="145">IF(F11=1,"Concluído",IF(AND(J11&lt;TODAY(),F11&lt;1),"Em atraso","Em andamento"))</f>
        <v>Em atraso</v>
      </c>
      <c r="L11" s="58" t="s">
        <v>26</v>
      </c>
      <c r="M11" s="58" t="s">
        <v>38</v>
      </c>
      <c r="N11" s="5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</row>
    <row r="12" spans="2:215" ht="18.95" customHeight="1" outlineLevel="1">
      <c r="B12" s="89" t="s">
        <v>9</v>
      </c>
      <c r="C12" s="71" t="s">
        <v>39</v>
      </c>
      <c r="D12" s="56">
        <v>0.5</v>
      </c>
      <c r="E12" s="56">
        <v>0.5</v>
      </c>
      <c r="F12" s="57">
        <v>0</v>
      </c>
      <c r="G12" s="58">
        <v>43747</v>
      </c>
      <c r="H12" s="58">
        <v>43747</v>
      </c>
      <c r="I12" s="58">
        <f t="shared" si="143"/>
        <v>43747</v>
      </c>
      <c r="J12" s="58">
        <f t="shared" si="144"/>
        <v>43747</v>
      </c>
      <c r="K12" s="58" t="str">
        <f t="shared" ca="1" si="145"/>
        <v>Em atraso</v>
      </c>
      <c r="L12" s="58" t="s">
        <v>25</v>
      </c>
      <c r="M12" s="58" t="s">
        <v>38</v>
      </c>
      <c r="N12" s="5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</row>
    <row r="13" spans="2:215" ht="18.95" customHeight="1" outlineLevel="1">
      <c r="B13" s="89" t="s">
        <v>7</v>
      </c>
      <c r="C13" s="71" t="s">
        <v>41</v>
      </c>
      <c r="D13" s="56">
        <v>0.5</v>
      </c>
      <c r="E13" s="56">
        <v>0.5</v>
      </c>
      <c r="F13" s="57">
        <v>0</v>
      </c>
      <c r="G13" s="58">
        <v>43747</v>
      </c>
      <c r="H13" s="58">
        <v>43747</v>
      </c>
      <c r="I13" s="58">
        <f t="shared" si="143"/>
        <v>43747</v>
      </c>
      <c r="J13" s="58">
        <f t="shared" si="144"/>
        <v>43747</v>
      </c>
      <c r="K13" s="58" t="str">
        <f t="shared" ca="1" si="145"/>
        <v>Em atraso</v>
      </c>
      <c r="L13" s="58" t="s">
        <v>26</v>
      </c>
      <c r="M13" s="58" t="s">
        <v>38</v>
      </c>
      <c r="N13" s="5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</row>
    <row r="14" spans="2:215" s="27" customFormat="1" ht="18.95" customHeight="1">
      <c r="B14" s="88" t="s">
        <v>30</v>
      </c>
      <c r="C14" s="70" t="s">
        <v>59</v>
      </c>
      <c r="D14" s="52">
        <f>(I14-G14)+1</f>
        <v>1</v>
      </c>
      <c r="E14" s="52">
        <f>(J14-H14)+1</f>
        <v>1</v>
      </c>
      <c r="F14" s="53">
        <v>1</v>
      </c>
      <c r="G14" s="54">
        <v>43747</v>
      </c>
      <c r="H14" s="54">
        <v>43747</v>
      </c>
      <c r="I14" s="54">
        <v>43747</v>
      </c>
      <c r="J14" s="54">
        <v>43747</v>
      </c>
      <c r="K14" s="60"/>
      <c r="L14" s="54"/>
      <c r="M14" s="54"/>
      <c r="N14" s="55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</row>
    <row r="15" spans="2:215" ht="18.95" customHeight="1" outlineLevel="1">
      <c r="B15" s="89" t="s">
        <v>8</v>
      </c>
      <c r="C15" s="71" t="s">
        <v>60</v>
      </c>
      <c r="D15" s="56">
        <v>0.5</v>
      </c>
      <c r="E15" s="56">
        <v>0.5</v>
      </c>
      <c r="F15" s="57">
        <v>0</v>
      </c>
      <c r="G15" s="58">
        <v>43747</v>
      </c>
      <c r="H15" s="58">
        <v>43747</v>
      </c>
      <c r="I15" s="58">
        <f t="shared" ref="I15:I47" si="146">(G15+ROUNDUP(D15,0)-1)</f>
        <v>43747</v>
      </c>
      <c r="J15" s="58">
        <f t="shared" si="144"/>
        <v>43747</v>
      </c>
      <c r="K15" s="58" t="str">
        <f t="shared" ca="1" si="145"/>
        <v>Em atraso</v>
      </c>
      <c r="L15" s="58" t="s">
        <v>26</v>
      </c>
      <c r="M15" s="58" t="s">
        <v>35</v>
      </c>
      <c r="N15" s="5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</row>
    <row r="16" spans="2:215" ht="19.5" customHeight="1" outlineLevel="1">
      <c r="B16" s="89" t="s">
        <v>4</v>
      </c>
      <c r="C16" s="71" t="s">
        <v>61</v>
      </c>
      <c r="D16" s="56">
        <v>0.4</v>
      </c>
      <c r="E16" s="56">
        <v>0.4</v>
      </c>
      <c r="F16" s="57">
        <v>0</v>
      </c>
      <c r="G16" s="58">
        <v>43747</v>
      </c>
      <c r="H16" s="58">
        <v>43747</v>
      </c>
      <c r="I16" s="58">
        <f t="shared" si="146"/>
        <v>43747</v>
      </c>
      <c r="J16" s="58">
        <f t="shared" si="144"/>
        <v>43747</v>
      </c>
      <c r="K16" s="58" t="str">
        <f t="shared" ca="1" si="145"/>
        <v>Em atraso</v>
      </c>
      <c r="L16" s="58" t="s">
        <v>25</v>
      </c>
      <c r="M16" s="58" t="s">
        <v>69</v>
      </c>
      <c r="N16" s="5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</row>
    <row r="17" spans="2:215" ht="18.95" customHeight="1" outlineLevel="1">
      <c r="B17" s="89" t="s">
        <v>11</v>
      </c>
      <c r="C17" s="71" t="s">
        <v>107</v>
      </c>
      <c r="D17" s="56">
        <v>0.1</v>
      </c>
      <c r="E17" s="56">
        <v>0.1</v>
      </c>
      <c r="F17" s="57">
        <v>0</v>
      </c>
      <c r="G17" s="58">
        <v>43747</v>
      </c>
      <c r="H17" s="58">
        <v>43747</v>
      </c>
      <c r="I17" s="58">
        <f t="shared" si="146"/>
        <v>43747</v>
      </c>
      <c r="J17" s="58">
        <f t="shared" si="144"/>
        <v>43747</v>
      </c>
      <c r="K17" s="58" t="str">
        <f t="shared" ca="1" si="145"/>
        <v>Em atraso</v>
      </c>
      <c r="L17" s="58" t="s">
        <v>26</v>
      </c>
      <c r="M17" s="58" t="s">
        <v>70</v>
      </c>
      <c r="N17" s="5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</row>
    <row r="18" spans="2:215" s="27" customFormat="1" ht="18.75" customHeight="1">
      <c r="B18" s="88" t="s">
        <v>31</v>
      </c>
      <c r="C18" s="70" t="s">
        <v>43</v>
      </c>
      <c r="D18" s="52">
        <f>(I18-G18)+1</f>
        <v>17</v>
      </c>
      <c r="E18" s="52">
        <f>(J18-H18)+1</f>
        <v>23</v>
      </c>
      <c r="F18" s="53">
        <v>2</v>
      </c>
      <c r="G18" s="54">
        <v>43742</v>
      </c>
      <c r="H18" s="54">
        <v>43742</v>
      </c>
      <c r="I18" s="54">
        <v>43758</v>
      </c>
      <c r="J18" s="54">
        <v>43764</v>
      </c>
      <c r="K18" s="60"/>
      <c r="L18" s="54"/>
      <c r="M18" s="54"/>
      <c r="N18" s="55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</row>
    <row r="19" spans="2:215" ht="18.95" customHeight="1" outlineLevel="1">
      <c r="B19" s="89" t="s">
        <v>12</v>
      </c>
      <c r="C19" s="71" t="s">
        <v>85</v>
      </c>
      <c r="D19" s="56">
        <v>0.5</v>
      </c>
      <c r="E19" s="56">
        <v>0.5</v>
      </c>
      <c r="F19" s="57">
        <v>1</v>
      </c>
      <c r="G19" s="58">
        <v>43742</v>
      </c>
      <c r="H19" s="58">
        <v>43742</v>
      </c>
      <c r="I19" s="58">
        <f t="shared" si="146"/>
        <v>43742</v>
      </c>
      <c r="J19" s="58">
        <f t="shared" si="144"/>
        <v>43742</v>
      </c>
      <c r="K19" s="58" t="str">
        <f ca="1">IF(F19=1,"Concluído",IF(AND(J19&lt;TODAY(),F19&lt;1),"Em atraso","Em andamento"))</f>
        <v>Concluído</v>
      </c>
      <c r="L19" s="58" t="s">
        <v>26</v>
      </c>
      <c r="M19" s="58" t="s">
        <v>69</v>
      </c>
      <c r="N19" s="5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</row>
    <row r="20" spans="2:215" ht="18.95" customHeight="1" outlineLevel="1">
      <c r="B20" s="89" t="s">
        <v>13</v>
      </c>
      <c r="C20" s="71" t="s">
        <v>86</v>
      </c>
      <c r="D20" s="56"/>
      <c r="E20" s="56"/>
      <c r="F20" s="57"/>
      <c r="G20" s="58"/>
      <c r="H20" s="58"/>
      <c r="I20" s="58"/>
      <c r="J20" s="58"/>
      <c r="K20" s="58"/>
      <c r="L20" s="58"/>
      <c r="M20" s="58"/>
      <c r="N20" s="5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7"/>
      <c r="FW20" s="27"/>
      <c r="FX20" s="27"/>
      <c r="FY20" s="27"/>
      <c r="FZ20" s="27"/>
      <c r="GA20" s="27"/>
      <c r="GB20" s="27"/>
      <c r="GC20" s="27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</row>
    <row r="21" spans="2:215" ht="18.95" customHeight="1" outlineLevel="1">
      <c r="B21" s="89" t="s">
        <v>14</v>
      </c>
      <c r="C21" s="71" t="s">
        <v>87</v>
      </c>
      <c r="D21" s="56">
        <v>1</v>
      </c>
      <c r="E21" s="56">
        <v>1</v>
      </c>
      <c r="F21" s="57">
        <v>0</v>
      </c>
      <c r="G21" s="58">
        <v>43753</v>
      </c>
      <c r="H21" s="58">
        <v>43753</v>
      </c>
      <c r="I21" s="58">
        <f t="shared" si="146"/>
        <v>43753</v>
      </c>
      <c r="J21" s="58">
        <f t="shared" si="144"/>
        <v>43753</v>
      </c>
      <c r="K21" s="58" t="str">
        <f t="shared" ca="1" si="145"/>
        <v>Em atraso</v>
      </c>
      <c r="L21" s="58" t="s">
        <v>26</v>
      </c>
      <c r="M21" s="58" t="s">
        <v>69</v>
      </c>
      <c r="N21" s="5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</row>
    <row r="22" spans="2:215" ht="18.95" customHeight="1" outlineLevel="1">
      <c r="B22" s="89" t="s">
        <v>15</v>
      </c>
      <c r="C22" s="71" t="s">
        <v>88</v>
      </c>
      <c r="D22" s="56">
        <v>0.5</v>
      </c>
      <c r="E22" s="56">
        <v>0.5</v>
      </c>
      <c r="F22" s="57">
        <v>0</v>
      </c>
      <c r="G22" s="58">
        <v>43754</v>
      </c>
      <c r="H22" s="58">
        <v>43754</v>
      </c>
      <c r="I22" s="58">
        <f t="shared" si="146"/>
        <v>43754</v>
      </c>
      <c r="J22" s="58">
        <f t="shared" si="144"/>
        <v>43754</v>
      </c>
      <c r="K22" s="58" t="str">
        <f t="shared" ca="1" si="145"/>
        <v>Em atraso</v>
      </c>
      <c r="L22" s="58" t="s">
        <v>26</v>
      </c>
      <c r="M22" s="58" t="s">
        <v>35</v>
      </c>
      <c r="N22" s="5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</row>
    <row r="23" spans="2:215" ht="18.95" customHeight="1" outlineLevel="1">
      <c r="B23" s="89" t="s">
        <v>62</v>
      </c>
      <c r="C23" s="71" t="s">
        <v>89</v>
      </c>
      <c r="D23" s="56">
        <v>0.5</v>
      </c>
      <c r="E23" s="56">
        <v>0.5</v>
      </c>
      <c r="F23" s="57">
        <v>0</v>
      </c>
      <c r="G23" s="58">
        <v>43754</v>
      </c>
      <c r="H23" s="58">
        <v>43754</v>
      </c>
      <c r="I23" s="58">
        <f t="shared" ref="I23" si="147">(G23+ROUNDUP(D23,0)-1)</f>
        <v>43754</v>
      </c>
      <c r="J23" s="58">
        <f t="shared" ref="J23" si="148">(H23+ROUNDUP(E23,0))-1</f>
        <v>43754</v>
      </c>
      <c r="K23" s="58" t="str">
        <f t="shared" ref="K23" ca="1" si="149">IF(F23=1,"Concluído",IF(AND(J23&lt;TODAY(),F23&lt;1),"Em atraso","Em andamento"))</f>
        <v>Em atraso</v>
      </c>
      <c r="L23" s="58" t="s">
        <v>26</v>
      </c>
      <c r="M23" s="58" t="s">
        <v>69</v>
      </c>
      <c r="N23" s="5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</row>
    <row r="24" spans="2:215" ht="18.95" customHeight="1" outlineLevel="1">
      <c r="B24" s="89" t="s">
        <v>63</v>
      </c>
      <c r="C24" s="71" t="s">
        <v>90</v>
      </c>
      <c r="D24" s="56">
        <v>5</v>
      </c>
      <c r="E24" s="56">
        <v>5</v>
      </c>
      <c r="F24" s="57">
        <v>0</v>
      </c>
      <c r="G24" s="58">
        <v>43754</v>
      </c>
      <c r="H24" s="58">
        <v>43760</v>
      </c>
      <c r="I24" s="58">
        <f t="shared" si="146"/>
        <v>43758</v>
      </c>
      <c r="J24" s="58">
        <f t="shared" si="144"/>
        <v>43764</v>
      </c>
      <c r="K24" s="58" t="str">
        <f t="shared" ca="1" si="145"/>
        <v>Em andamento</v>
      </c>
      <c r="L24" s="58" t="s">
        <v>25</v>
      </c>
      <c r="M24" s="58" t="s">
        <v>69</v>
      </c>
      <c r="N24" s="5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</row>
    <row r="25" spans="2:215" s="27" customFormat="1" ht="18.95" customHeight="1">
      <c r="B25" s="88" t="s">
        <v>32</v>
      </c>
      <c r="C25" s="70" t="s">
        <v>74</v>
      </c>
      <c r="D25" s="52">
        <f>(I25-G25)+1</f>
        <v>9</v>
      </c>
      <c r="E25" s="52">
        <f>(J25-H25)+1</f>
        <v>9</v>
      </c>
      <c r="F25" s="53">
        <v>1</v>
      </c>
      <c r="G25" s="54">
        <v>43754</v>
      </c>
      <c r="H25" s="54">
        <v>43754</v>
      </c>
      <c r="I25" s="54">
        <v>43762</v>
      </c>
      <c r="J25" s="54">
        <v>43762</v>
      </c>
      <c r="K25" s="60"/>
      <c r="L25" s="54"/>
      <c r="M25" s="54"/>
      <c r="N25" s="55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</row>
    <row r="26" spans="2:215" ht="18.95" customHeight="1" outlineLevel="1">
      <c r="B26" s="89" t="s">
        <v>16</v>
      </c>
      <c r="C26" s="71" t="s">
        <v>91</v>
      </c>
      <c r="D26" s="56">
        <v>0.5</v>
      </c>
      <c r="E26" s="56">
        <v>0.5</v>
      </c>
      <c r="F26" s="57">
        <v>0</v>
      </c>
      <c r="G26" s="58">
        <v>43754</v>
      </c>
      <c r="H26" s="58">
        <v>43754</v>
      </c>
      <c r="I26" s="58">
        <f t="shared" si="146"/>
        <v>43754</v>
      </c>
      <c r="J26" s="58">
        <f t="shared" si="144"/>
        <v>43754</v>
      </c>
      <c r="K26" s="58" t="str">
        <f t="shared" ca="1" si="145"/>
        <v>Em atraso</v>
      </c>
      <c r="L26" s="58" t="s">
        <v>26</v>
      </c>
      <c r="M26" s="58" t="s">
        <v>69</v>
      </c>
      <c r="N26" s="5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</row>
    <row r="27" spans="2:215" ht="18.95" customHeight="1" outlineLevel="1">
      <c r="B27" s="89" t="s">
        <v>18</v>
      </c>
      <c r="C27" s="71" t="s">
        <v>92</v>
      </c>
      <c r="D27" s="56">
        <v>0.5</v>
      </c>
      <c r="E27" s="56">
        <v>0.5</v>
      </c>
      <c r="F27" s="57">
        <v>0</v>
      </c>
      <c r="G27" s="58">
        <v>43754</v>
      </c>
      <c r="H27" s="58">
        <v>43754</v>
      </c>
      <c r="I27" s="58">
        <f t="shared" si="146"/>
        <v>43754</v>
      </c>
      <c r="J27" s="58">
        <f t="shared" si="144"/>
        <v>43754</v>
      </c>
      <c r="K27" s="58" t="str">
        <f t="shared" ca="1" si="145"/>
        <v>Em atraso</v>
      </c>
      <c r="L27" s="58" t="s">
        <v>26</v>
      </c>
      <c r="M27" s="58" t="s">
        <v>69</v>
      </c>
      <c r="N27" s="5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  <c r="EU27" s="27"/>
      <c r="EV27" s="27"/>
      <c r="EW27" s="27"/>
      <c r="EX27" s="27"/>
      <c r="EY27" s="27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7"/>
      <c r="FU27" s="27"/>
      <c r="FV27" s="27"/>
      <c r="FW27" s="27"/>
      <c r="FX27" s="27"/>
      <c r="FY27" s="27"/>
      <c r="FZ27" s="27"/>
      <c r="GA27" s="27"/>
      <c r="GB27" s="27"/>
      <c r="GC27" s="27"/>
      <c r="GD27" s="27"/>
      <c r="GE27" s="27"/>
      <c r="GF27" s="27"/>
      <c r="GG27" s="27"/>
      <c r="GH27" s="27"/>
      <c r="GI27" s="27"/>
      <c r="GJ27" s="27"/>
      <c r="GK27" s="27"/>
      <c r="GL27" s="27"/>
      <c r="GM27" s="27"/>
      <c r="GN27" s="27"/>
      <c r="GO27" s="27"/>
      <c r="GP27" s="27"/>
      <c r="GQ27" s="27"/>
      <c r="GR27" s="27"/>
      <c r="GS27" s="27"/>
      <c r="GT27" s="27"/>
      <c r="GU27" s="27"/>
      <c r="GV27" s="27"/>
      <c r="GW27" s="27"/>
      <c r="GX27" s="27"/>
      <c r="GY27" s="27"/>
      <c r="GZ27" s="27"/>
      <c r="HA27" s="27"/>
      <c r="HB27" s="27"/>
      <c r="HC27" s="27"/>
      <c r="HD27" s="27"/>
      <c r="HE27" s="27"/>
      <c r="HF27" s="27"/>
      <c r="HG27" s="27"/>
    </row>
    <row r="28" spans="2:215" ht="18.95" customHeight="1" outlineLevel="1">
      <c r="B28" s="89" t="s">
        <v>19</v>
      </c>
      <c r="C28" s="71" t="s">
        <v>93</v>
      </c>
      <c r="D28" s="56">
        <v>2</v>
      </c>
      <c r="E28" s="56">
        <v>2</v>
      </c>
      <c r="F28" s="57">
        <v>0</v>
      </c>
      <c r="G28" s="58">
        <v>43754</v>
      </c>
      <c r="H28" s="58">
        <v>43754</v>
      </c>
      <c r="I28" s="58">
        <f t="shared" ref="I28:I33" si="150">(G28+ROUNDUP(D28,0)-1)</f>
        <v>43755</v>
      </c>
      <c r="J28" s="58">
        <f t="shared" ref="J28:J33" si="151">(H28+ROUNDUP(E28,0))-1</f>
        <v>43755</v>
      </c>
      <c r="K28" s="58" t="str">
        <f t="shared" ref="K28:K33" ca="1" si="152">IF(F28=1,"Concluído",IF(AND(J28&lt;TODAY(),F28&lt;1),"Em atraso","Em andamento"))</f>
        <v>Em atraso</v>
      </c>
      <c r="L28" s="58" t="s">
        <v>26</v>
      </c>
      <c r="M28" s="58" t="s">
        <v>69</v>
      </c>
      <c r="N28" s="5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</row>
    <row r="29" spans="2:215" ht="18.95" customHeight="1" outlineLevel="1">
      <c r="B29" s="89" t="s">
        <v>5</v>
      </c>
      <c r="C29" s="71" t="s">
        <v>94</v>
      </c>
      <c r="D29" s="56">
        <v>0.5</v>
      </c>
      <c r="E29" s="56">
        <v>0.5</v>
      </c>
      <c r="F29" s="57">
        <v>0</v>
      </c>
      <c r="G29" s="58">
        <v>43756</v>
      </c>
      <c r="H29" s="58">
        <v>43756</v>
      </c>
      <c r="I29" s="58">
        <f t="shared" si="150"/>
        <v>43756</v>
      </c>
      <c r="J29" s="58">
        <f t="shared" si="151"/>
        <v>43756</v>
      </c>
      <c r="K29" s="58" t="str">
        <f t="shared" ca="1" si="152"/>
        <v>Em atraso</v>
      </c>
      <c r="L29" s="58" t="s">
        <v>25</v>
      </c>
      <c r="M29" s="58" t="s">
        <v>70</v>
      </c>
      <c r="N29" s="5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7"/>
      <c r="FW29" s="27"/>
      <c r="FX29" s="27"/>
      <c r="FY29" s="27"/>
      <c r="FZ29" s="27"/>
      <c r="GA29" s="27"/>
      <c r="GB29" s="27"/>
      <c r="GC29" s="27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</row>
    <row r="30" spans="2:215" ht="18.95" customHeight="1" outlineLevel="1">
      <c r="B30" s="89" t="s">
        <v>17</v>
      </c>
      <c r="C30" s="71" t="s">
        <v>95</v>
      </c>
      <c r="D30" s="56">
        <v>7</v>
      </c>
      <c r="E30" s="56">
        <v>7</v>
      </c>
      <c r="F30" s="57">
        <v>0</v>
      </c>
      <c r="G30" s="58">
        <v>43756</v>
      </c>
      <c r="H30" s="58">
        <v>43756</v>
      </c>
      <c r="I30" s="58">
        <f t="shared" si="150"/>
        <v>43762</v>
      </c>
      <c r="J30" s="58">
        <f t="shared" si="151"/>
        <v>43762</v>
      </c>
      <c r="K30" s="58" t="str">
        <f t="shared" ca="1" si="152"/>
        <v>Em andamento</v>
      </c>
      <c r="L30" s="58" t="s">
        <v>26</v>
      </c>
      <c r="M30" s="58" t="s">
        <v>69</v>
      </c>
      <c r="N30" s="5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</row>
    <row r="31" spans="2:215" s="105" customFormat="1" ht="18.95" customHeight="1" outlineLevel="1">
      <c r="B31" s="88" t="s">
        <v>33</v>
      </c>
      <c r="C31" s="112" t="s">
        <v>117</v>
      </c>
      <c r="D31" s="106">
        <f>(I31-G31)+1</f>
        <v>7</v>
      </c>
      <c r="E31" s="106">
        <f>(J31-H31)+1</f>
        <v>7</v>
      </c>
      <c r="F31" s="107">
        <v>1</v>
      </c>
      <c r="G31" s="108">
        <v>43762</v>
      </c>
      <c r="H31" s="108">
        <v>43762</v>
      </c>
      <c r="I31" s="108">
        <v>43768</v>
      </c>
      <c r="J31" s="108">
        <v>43768</v>
      </c>
      <c r="K31" s="108"/>
      <c r="L31" s="108"/>
      <c r="M31" s="108"/>
      <c r="N31" s="109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  <c r="AU31" s="111"/>
      <c r="AV31" s="111"/>
      <c r="AW31" s="111"/>
      <c r="AX31" s="111"/>
      <c r="AY31" s="111"/>
      <c r="AZ31" s="111"/>
      <c r="BA31" s="111"/>
      <c r="BB31" s="111"/>
      <c r="BC31" s="111"/>
      <c r="BD31" s="111"/>
      <c r="BE31" s="111"/>
      <c r="BF31" s="111"/>
      <c r="BG31" s="111"/>
      <c r="BH31" s="111"/>
      <c r="BI31" s="111"/>
      <c r="BJ31" s="111"/>
      <c r="BK31" s="111"/>
      <c r="BL31" s="111"/>
      <c r="BM31" s="111"/>
      <c r="BN31" s="111"/>
      <c r="BO31" s="111"/>
      <c r="BP31" s="111"/>
      <c r="BQ31" s="111"/>
      <c r="BR31" s="111"/>
      <c r="BS31" s="111"/>
      <c r="BT31" s="111"/>
      <c r="BU31" s="111"/>
      <c r="BV31" s="111"/>
      <c r="BW31" s="111"/>
      <c r="BX31" s="111"/>
      <c r="BY31" s="111"/>
      <c r="BZ31" s="111"/>
      <c r="CA31" s="111"/>
      <c r="CB31" s="111"/>
      <c r="CC31" s="111"/>
      <c r="CD31" s="111"/>
      <c r="CE31" s="111"/>
      <c r="CF31" s="111"/>
      <c r="CG31" s="111"/>
      <c r="CH31" s="111"/>
      <c r="CI31" s="111"/>
      <c r="CJ31" s="111"/>
      <c r="CK31" s="111"/>
      <c r="CL31" s="111"/>
      <c r="CM31" s="111"/>
      <c r="CN31" s="111"/>
      <c r="CO31" s="111"/>
      <c r="CP31" s="111"/>
      <c r="CQ31" s="111"/>
      <c r="CR31" s="111"/>
      <c r="CS31" s="111"/>
      <c r="CT31" s="111"/>
      <c r="CU31" s="111"/>
      <c r="CV31" s="111"/>
      <c r="CW31" s="111"/>
      <c r="CX31" s="111"/>
      <c r="CY31" s="111"/>
      <c r="CZ31" s="111"/>
      <c r="DA31" s="111"/>
      <c r="DB31" s="111"/>
      <c r="DC31" s="111"/>
      <c r="DD31" s="111"/>
      <c r="DE31" s="111"/>
      <c r="DF31" s="111"/>
      <c r="DG31" s="111"/>
      <c r="DH31" s="111"/>
      <c r="DI31" s="111"/>
      <c r="DJ31" s="111"/>
      <c r="DK31" s="111"/>
      <c r="DL31" s="111"/>
      <c r="DM31" s="111"/>
      <c r="DN31" s="111"/>
      <c r="DO31" s="111"/>
      <c r="DP31" s="111"/>
      <c r="DQ31" s="111"/>
      <c r="DR31" s="111"/>
      <c r="DS31" s="111"/>
      <c r="DT31" s="111"/>
      <c r="DU31" s="111"/>
      <c r="DV31" s="111"/>
      <c r="DW31" s="111"/>
      <c r="DX31" s="111"/>
      <c r="DY31" s="111"/>
      <c r="DZ31" s="111"/>
      <c r="EA31" s="111"/>
      <c r="EB31" s="111"/>
      <c r="EC31" s="111"/>
      <c r="ED31" s="111"/>
      <c r="EE31" s="111"/>
      <c r="EF31" s="111"/>
      <c r="EG31" s="111"/>
      <c r="EH31" s="111"/>
      <c r="EI31" s="111"/>
      <c r="EJ31" s="111"/>
      <c r="EK31" s="111"/>
      <c r="EL31" s="111"/>
      <c r="EM31" s="111"/>
      <c r="EN31" s="111"/>
      <c r="EO31" s="111"/>
      <c r="EP31" s="111"/>
      <c r="EQ31" s="111"/>
      <c r="ER31" s="111"/>
      <c r="ES31" s="111"/>
      <c r="ET31" s="111"/>
      <c r="EU31" s="111"/>
      <c r="EV31" s="111"/>
      <c r="EW31" s="111"/>
      <c r="EX31" s="111"/>
      <c r="EY31" s="111"/>
      <c r="EZ31" s="111"/>
      <c r="FA31" s="111"/>
      <c r="FB31" s="111"/>
      <c r="FC31" s="111"/>
      <c r="FD31" s="111"/>
      <c r="FE31" s="111"/>
      <c r="FF31" s="111"/>
      <c r="FG31" s="111"/>
      <c r="FH31" s="111"/>
      <c r="FI31" s="111"/>
      <c r="FJ31" s="111"/>
      <c r="FK31" s="111"/>
      <c r="FL31" s="111"/>
      <c r="FM31" s="111"/>
      <c r="FN31" s="111"/>
      <c r="FO31" s="111"/>
      <c r="FP31" s="111"/>
      <c r="FQ31" s="111"/>
      <c r="FR31" s="111"/>
      <c r="FS31" s="111"/>
      <c r="FT31" s="111"/>
      <c r="FU31" s="111"/>
      <c r="FV31" s="111"/>
      <c r="FW31" s="111"/>
      <c r="FX31" s="111"/>
      <c r="FY31" s="111"/>
      <c r="FZ31" s="111"/>
      <c r="GA31" s="111"/>
      <c r="GB31" s="111"/>
      <c r="GC31" s="111"/>
      <c r="GD31" s="111"/>
      <c r="GE31" s="111"/>
      <c r="GF31" s="111"/>
      <c r="GG31" s="111"/>
      <c r="GH31" s="111"/>
      <c r="GI31" s="111"/>
      <c r="GJ31" s="111"/>
      <c r="GK31" s="111"/>
      <c r="GL31" s="111"/>
      <c r="GM31" s="111"/>
      <c r="GN31" s="111"/>
      <c r="GO31" s="111"/>
      <c r="GP31" s="111"/>
      <c r="GQ31" s="111"/>
      <c r="GR31" s="111"/>
      <c r="GS31" s="111"/>
      <c r="GT31" s="111"/>
      <c r="GU31" s="111"/>
      <c r="GV31" s="111"/>
      <c r="GW31" s="111"/>
      <c r="GX31" s="111"/>
      <c r="GY31" s="111"/>
      <c r="GZ31" s="111"/>
      <c r="HA31" s="111"/>
      <c r="HB31" s="111"/>
      <c r="HC31" s="111"/>
      <c r="HD31" s="111"/>
      <c r="HE31" s="111"/>
      <c r="HF31" s="111"/>
      <c r="HG31" s="111"/>
    </row>
    <row r="32" spans="2:215" ht="18.95" customHeight="1" outlineLevel="1">
      <c r="B32" s="89" t="s">
        <v>21</v>
      </c>
      <c r="C32" s="71" t="s">
        <v>96</v>
      </c>
      <c r="D32" s="56">
        <v>2</v>
      </c>
      <c r="E32" s="56">
        <v>2</v>
      </c>
      <c r="F32" s="57">
        <v>0</v>
      </c>
      <c r="G32" s="58">
        <v>43762</v>
      </c>
      <c r="H32" s="58">
        <v>43762</v>
      </c>
      <c r="I32" s="58">
        <f t="shared" si="150"/>
        <v>43763</v>
      </c>
      <c r="J32" s="58">
        <f t="shared" si="151"/>
        <v>43763</v>
      </c>
      <c r="K32" s="58" t="str">
        <f t="shared" ca="1" si="152"/>
        <v>Em andamento</v>
      </c>
      <c r="L32" s="58" t="s">
        <v>26</v>
      </c>
      <c r="M32" s="58" t="s">
        <v>84</v>
      </c>
      <c r="N32" s="5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7"/>
      <c r="FW32" s="27"/>
      <c r="FX32" s="27"/>
      <c r="FY32" s="27"/>
      <c r="FZ32" s="27"/>
      <c r="GA32" s="27"/>
      <c r="GB32" s="27"/>
      <c r="GC32" s="27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</row>
    <row r="33" spans="2:215" ht="18.95" customHeight="1" outlineLevel="1">
      <c r="B33" s="89" t="s">
        <v>22</v>
      </c>
      <c r="C33" s="71" t="s">
        <v>97</v>
      </c>
      <c r="D33" s="56">
        <v>2</v>
      </c>
      <c r="E33" s="56">
        <v>2</v>
      </c>
      <c r="F33" s="57">
        <v>0</v>
      </c>
      <c r="G33" s="58">
        <v>43766</v>
      </c>
      <c r="H33" s="58">
        <v>43766</v>
      </c>
      <c r="I33" s="58">
        <f t="shared" si="150"/>
        <v>43767</v>
      </c>
      <c r="J33" s="58">
        <f t="shared" si="151"/>
        <v>43767</v>
      </c>
      <c r="K33" s="58" t="str">
        <f t="shared" ca="1" si="152"/>
        <v>Em andamento</v>
      </c>
      <c r="L33" s="58" t="s">
        <v>26</v>
      </c>
      <c r="M33" s="58" t="s">
        <v>35</v>
      </c>
      <c r="N33" s="5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27"/>
      <c r="ET33" s="27"/>
      <c r="EU33" s="27"/>
      <c r="EV33" s="27"/>
      <c r="EW33" s="27"/>
      <c r="EX33" s="27"/>
      <c r="EY33" s="27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7"/>
      <c r="FW33" s="27"/>
      <c r="FX33" s="27"/>
      <c r="FY33" s="27"/>
      <c r="FZ33" s="27"/>
      <c r="GA33" s="27"/>
      <c r="GB33" s="27"/>
      <c r="GC33" s="27"/>
      <c r="GD33" s="27"/>
      <c r="GE33" s="27"/>
      <c r="GF33" s="27"/>
      <c r="GG33" s="27"/>
      <c r="GH33" s="27"/>
      <c r="GI33" s="27"/>
      <c r="GJ33" s="27"/>
      <c r="GK33" s="27"/>
      <c r="GL33" s="27"/>
      <c r="GM33" s="27"/>
      <c r="GN33" s="27"/>
      <c r="GO33" s="27"/>
      <c r="GP33" s="27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</row>
    <row r="34" spans="2:215" ht="18.95" customHeight="1" outlineLevel="1">
      <c r="B34" s="89" t="s">
        <v>10</v>
      </c>
      <c r="C34" s="71" t="s">
        <v>98</v>
      </c>
      <c r="D34" s="56">
        <v>2</v>
      </c>
      <c r="E34" s="56">
        <v>2</v>
      </c>
      <c r="F34" s="57">
        <v>0</v>
      </c>
      <c r="G34" s="58">
        <v>43767</v>
      </c>
      <c r="H34" s="58">
        <v>43767</v>
      </c>
      <c r="I34" s="58">
        <f t="shared" si="146"/>
        <v>43768</v>
      </c>
      <c r="J34" s="58">
        <f t="shared" si="144"/>
        <v>43768</v>
      </c>
      <c r="K34" s="58" t="str">
        <f t="shared" ca="1" si="145"/>
        <v>Em andamento</v>
      </c>
      <c r="L34" s="58" t="s">
        <v>25</v>
      </c>
      <c r="M34" s="58" t="s">
        <v>70</v>
      </c>
      <c r="N34" s="5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7"/>
      <c r="FW34" s="27"/>
      <c r="FX34" s="27"/>
      <c r="FY34" s="27"/>
      <c r="FZ34" s="27"/>
      <c r="GA34" s="27"/>
      <c r="GB34" s="27"/>
      <c r="GC34" s="27"/>
      <c r="GD34" s="27"/>
      <c r="GE34" s="27"/>
      <c r="GF34" s="27"/>
      <c r="GG34" s="27"/>
      <c r="GH34" s="27"/>
      <c r="GI34" s="27"/>
      <c r="GJ34" s="27"/>
      <c r="GK34" s="27"/>
      <c r="GL34" s="27"/>
      <c r="GM34" s="27"/>
      <c r="GN34" s="27"/>
      <c r="GO34" s="27"/>
      <c r="GP34" s="27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</row>
    <row r="35" spans="2:215" s="27" customFormat="1" ht="18.95" customHeight="1">
      <c r="B35" s="88" t="s">
        <v>66</v>
      </c>
      <c r="C35" s="70" t="s">
        <v>75</v>
      </c>
      <c r="D35" s="52">
        <f>(I35-G35)+1</f>
        <v>15</v>
      </c>
      <c r="E35" s="52">
        <f>(J35-H35)+1</f>
        <v>15</v>
      </c>
      <c r="F35" s="53">
        <v>1</v>
      </c>
      <c r="G35" s="54">
        <v>43768</v>
      </c>
      <c r="H35" s="54">
        <v>43768</v>
      </c>
      <c r="I35" s="54">
        <v>43782</v>
      </c>
      <c r="J35" s="54">
        <v>43782</v>
      </c>
      <c r="K35" s="60"/>
      <c r="L35" s="54"/>
      <c r="M35" s="54"/>
      <c r="N35" s="55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</row>
    <row r="36" spans="2:215" ht="18.95" customHeight="1" outlineLevel="1">
      <c r="B36" s="89" t="s">
        <v>67</v>
      </c>
      <c r="C36" s="71" t="s">
        <v>99</v>
      </c>
      <c r="D36" s="56">
        <v>0.5</v>
      </c>
      <c r="E36" s="56">
        <v>0.5</v>
      </c>
      <c r="F36" s="57">
        <v>0</v>
      </c>
      <c r="G36" s="58">
        <v>43768</v>
      </c>
      <c r="H36" s="58">
        <v>43768</v>
      </c>
      <c r="I36" s="58">
        <f t="shared" si="146"/>
        <v>43768</v>
      </c>
      <c r="J36" s="58">
        <f t="shared" si="144"/>
        <v>43768</v>
      </c>
      <c r="K36" s="58" t="str">
        <f t="shared" ca="1" si="145"/>
        <v>Em andamento</v>
      </c>
      <c r="L36" s="58" t="s">
        <v>26</v>
      </c>
      <c r="M36" s="58" t="s">
        <v>69</v>
      </c>
      <c r="N36" s="5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  <c r="EO36" s="27"/>
      <c r="EP36" s="27"/>
      <c r="EQ36" s="27"/>
      <c r="ER36" s="27"/>
      <c r="ES36" s="27"/>
      <c r="ET36" s="27"/>
      <c r="EU36" s="27"/>
      <c r="EV36" s="27"/>
      <c r="EW36" s="27"/>
      <c r="EX36" s="27"/>
      <c r="EY36" s="27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7"/>
      <c r="FU36" s="27"/>
      <c r="FV36" s="27"/>
      <c r="FW36" s="27"/>
      <c r="FX36" s="27"/>
      <c r="FY36" s="27"/>
      <c r="FZ36" s="27"/>
      <c r="GA36" s="27"/>
      <c r="GB36" s="27"/>
      <c r="GC36" s="27"/>
      <c r="GD36" s="27"/>
      <c r="GE36" s="27"/>
      <c r="GF36" s="27"/>
      <c r="GG36" s="27"/>
      <c r="GH36" s="27"/>
      <c r="GI36" s="27"/>
      <c r="GJ36" s="27"/>
      <c r="GK36" s="27"/>
      <c r="GL36" s="27"/>
      <c r="GM36" s="27"/>
      <c r="GN36" s="27"/>
      <c r="GO36" s="27"/>
      <c r="GP36" s="27"/>
      <c r="GQ36" s="27"/>
      <c r="GR36" s="27"/>
      <c r="GS36" s="27"/>
      <c r="GT36" s="27"/>
      <c r="GU36" s="27"/>
      <c r="GV36" s="27"/>
      <c r="GW36" s="27"/>
      <c r="GX36" s="27"/>
      <c r="GY36" s="27"/>
      <c r="GZ36" s="27"/>
      <c r="HA36" s="27"/>
      <c r="HB36" s="27"/>
      <c r="HC36" s="27"/>
      <c r="HD36" s="27"/>
      <c r="HE36" s="27"/>
      <c r="HF36" s="27"/>
      <c r="HG36" s="27"/>
    </row>
    <row r="37" spans="2:215" ht="18.95" customHeight="1" outlineLevel="1">
      <c r="B37" s="89" t="s">
        <v>115</v>
      </c>
      <c r="C37" s="71" t="s">
        <v>100</v>
      </c>
      <c r="D37" s="56">
        <v>0.5</v>
      </c>
      <c r="E37" s="56">
        <v>0.5</v>
      </c>
      <c r="F37" s="57">
        <v>0</v>
      </c>
      <c r="G37" s="58">
        <v>43768</v>
      </c>
      <c r="H37" s="58">
        <v>43768</v>
      </c>
      <c r="I37" s="58">
        <f t="shared" si="146"/>
        <v>43768</v>
      </c>
      <c r="J37" s="58">
        <f t="shared" si="144"/>
        <v>43768</v>
      </c>
      <c r="K37" s="58" t="str">
        <f t="shared" ca="1" si="145"/>
        <v>Em andamento</v>
      </c>
      <c r="L37" s="58" t="s">
        <v>26</v>
      </c>
      <c r="M37" s="58" t="s">
        <v>69</v>
      </c>
      <c r="N37" s="5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</row>
    <row r="38" spans="2:215" ht="18.95" customHeight="1" outlineLevel="1">
      <c r="B38" s="89" t="s">
        <v>68</v>
      </c>
      <c r="C38" s="71" t="s">
        <v>101</v>
      </c>
      <c r="D38" s="56">
        <v>2</v>
      </c>
      <c r="E38" s="56">
        <v>2</v>
      </c>
      <c r="F38" s="57">
        <v>0</v>
      </c>
      <c r="G38" s="58">
        <v>43768</v>
      </c>
      <c r="H38" s="58">
        <v>43768</v>
      </c>
      <c r="I38" s="58">
        <f t="shared" si="146"/>
        <v>43769</v>
      </c>
      <c r="J38" s="58">
        <f t="shared" si="144"/>
        <v>43769</v>
      </c>
      <c r="K38" s="58" t="str">
        <f t="shared" ca="1" si="145"/>
        <v>Em andamento</v>
      </c>
      <c r="L38" s="58" t="s">
        <v>26</v>
      </c>
      <c r="M38" s="58" t="s">
        <v>69</v>
      </c>
      <c r="N38" s="5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7"/>
      <c r="FW38" s="27"/>
      <c r="FX38" s="27"/>
      <c r="FY38" s="27"/>
      <c r="FZ38" s="27"/>
      <c r="GA38" s="27"/>
      <c r="GB38" s="27"/>
      <c r="GC38" s="27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</row>
    <row r="39" spans="2:215" ht="18.95" customHeight="1" outlineLevel="1">
      <c r="B39" s="89" t="s">
        <v>119</v>
      </c>
      <c r="C39" s="71" t="s">
        <v>102</v>
      </c>
      <c r="D39" s="56">
        <v>0.5</v>
      </c>
      <c r="E39" s="56">
        <v>0.5</v>
      </c>
      <c r="F39" s="57">
        <v>0</v>
      </c>
      <c r="G39" s="58">
        <v>43770</v>
      </c>
      <c r="H39" s="58">
        <v>43770</v>
      </c>
      <c r="I39" s="58">
        <f t="shared" ref="I39:I41" si="153">(G39+ROUNDUP(D39,0)-1)</f>
        <v>43770</v>
      </c>
      <c r="J39" s="58">
        <f t="shared" ref="J39:J41" si="154">(H39+ROUNDUP(E39,0))-1</f>
        <v>43770</v>
      </c>
      <c r="K39" s="58" t="str">
        <f t="shared" ref="K39:K41" ca="1" si="155">IF(F39=1,"Concluído",IF(AND(J39&lt;TODAY(),F39&lt;1),"Em atraso","Em andamento"))</f>
        <v>Em andamento</v>
      </c>
      <c r="L39" s="58" t="s">
        <v>25</v>
      </c>
      <c r="M39" s="58" t="s">
        <v>70</v>
      </c>
      <c r="N39" s="5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7"/>
      <c r="FW39" s="27"/>
      <c r="FX39" s="27"/>
      <c r="FY39" s="27"/>
      <c r="FZ39" s="27"/>
      <c r="GA39" s="27"/>
      <c r="GB39" s="27"/>
      <c r="GC39" s="27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</row>
    <row r="40" spans="2:215" ht="18.95" customHeight="1" outlineLevel="1">
      <c r="B40" s="89" t="s">
        <v>120</v>
      </c>
      <c r="C40" s="71" t="s">
        <v>103</v>
      </c>
      <c r="D40" s="56">
        <v>7</v>
      </c>
      <c r="E40" s="56">
        <v>7</v>
      </c>
      <c r="F40" s="57">
        <v>0</v>
      </c>
      <c r="G40" s="58">
        <v>43770</v>
      </c>
      <c r="H40" s="58">
        <v>43770</v>
      </c>
      <c r="I40" s="58">
        <f t="shared" si="153"/>
        <v>43776</v>
      </c>
      <c r="J40" s="58">
        <f t="shared" si="154"/>
        <v>43776</v>
      </c>
      <c r="K40" s="58" t="str">
        <f t="shared" ca="1" si="155"/>
        <v>Em andamento</v>
      </c>
      <c r="L40" s="58" t="s">
        <v>26</v>
      </c>
      <c r="M40" s="58" t="s">
        <v>69</v>
      </c>
      <c r="N40" s="5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7"/>
      <c r="FW40" s="27"/>
      <c r="FX40" s="27"/>
      <c r="FY40" s="27"/>
      <c r="FZ40" s="27"/>
      <c r="GA40" s="27"/>
      <c r="GB40" s="27"/>
      <c r="GC40" s="27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</row>
    <row r="41" spans="2:215" ht="18.95" customHeight="1" outlineLevel="1">
      <c r="B41" s="89" t="s">
        <v>121</v>
      </c>
      <c r="C41" s="71" t="s">
        <v>104</v>
      </c>
      <c r="D41" s="56">
        <v>2</v>
      </c>
      <c r="E41" s="56">
        <v>2</v>
      </c>
      <c r="F41" s="57">
        <v>0</v>
      </c>
      <c r="G41" s="58">
        <v>43776</v>
      </c>
      <c r="H41" s="58">
        <v>43776</v>
      </c>
      <c r="I41" s="58">
        <f t="shared" si="153"/>
        <v>43777</v>
      </c>
      <c r="J41" s="58">
        <f t="shared" si="154"/>
        <v>43777</v>
      </c>
      <c r="K41" s="58" t="str">
        <f t="shared" ca="1" si="155"/>
        <v>Em andamento</v>
      </c>
      <c r="L41" s="58" t="s">
        <v>26</v>
      </c>
      <c r="M41" s="58" t="s">
        <v>84</v>
      </c>
      <c r="N41" s="5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7"/>
      <c r="FW41" s="27"/>
      <c r="FX41" s="27"/>
      <c r="FY41" s="27"/>
      <c r="FZ41" s="27"/>
      <c r="GA41" s="27"/>
      <c r="GB41" s="27"/>
      <c r="GC41" s="27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</row>
    <row r="42" spans="2:215" ht="18.95" customHeight="1" outlineLevel="1">
      <c r="B42" s="89" t="s">
        <v>122</v>
      </c>
      <c r="C42" s="71" t="s">
        <v>105</v>
      </c>
      <c r="D42" s="56">
        <v>2</v>
      </c>
      <c r="E42" s="56">
        <v>2</v>
      </c>
      <c r="F42" s="57">
        <v>0</v>
      </c>
      <c r="G42" s="58">
        <v>43780</v>
      </c>
      <c r="H42" s="58">
        <v>43780</v>
      </c>
      <c r="I42" s="58">
        <f t="shared" si="146"/>
        <v>43781</v>
      </c>
      <c r="J42" s="58">
        <f t="shared" si="144"/>
        <v>43781</v>
      </c>
      <c r="K42" s="58" t="str">
        <f t="shared" ca="1" si="145"/>
        <v>Em andamento</v>
      </c>
      <c r="L42" s="58" t="s">
        <v>26</v>
      </c>
      <c r="M42" s="58" t="s">
        <v>35</v>
      </c>
      <c r="N42" s="5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  <c r="EQ42" s="27"/>
      <c r="ER42" s="27"/>
      <c r="ES42" s="27"/>
      <c r="ET42" s="27"/>
      <c r="EU42" s="27"/>
      <c r="EV42" s="27"/>
      <c r="EW42" s="27"/>
      <c r="EX42" s="27"/>
      <c r="EY42" s="27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7"/>
      <c r="FW42" s="27"/>
      <c r="FX42" s="27"/>
      <c r="FY42" s="27"/>
      <c r="FZ42" s="27"/>
      <c r="GA42" s="27"/>
      <c r="GB42" s="27"/>
      <c r="GC42" s="27"/>
      <c r="GD42" s="27"/>
      <c r="GE42" s="27"/>
      <c r="GF42" s="27"/>
      <c r="GG42" s="27"/>
      <c r="GH42" s="27"/>
      <c r="GI42" s="27"/>
      <c r="GJ42" s="27"/>
      <c r="GK42" s="27"/>
      <c r="GL42" s="27"/>
      <c r="GM42" s="27"/>
      <c r="GN42" s="27"/>
      <c r="GO42" s="27"/>
      <c r="GP42" s="27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</row>
    <row r="43" spans="2:215" ht="18.95" customHeight="1" outlineLevel="1">
      <c r="B43" s="89" t="s">
        <v>123</v>
      </c>
      <c r="C43" s="71" t="s">
        <v>106</v>
      </c>
      <c r="D43" s="56">
        <v>2</v>
      </c>
      <c r="E43" s="56">
        <v>2</v>
      </c>
      <c r="F43" s="57">
        <v>0</v>
      </c>
      <c r="G43" s="58">
        <v>43781</v>
      </c>
      <c r="H43" s="58">
        <v>43781</v>
      </c>
      <c r="I43" s="58">
        <f t="shared" si="146"/>
        <v>43782</v>
      </c>
      <c r="J43" s="58">
        <f t="shared" si="144"/>
        <v>43782</v>
      </c>
      <c r="K43" s="58" t="str">
        <f t="shared" ca="1" si="145"/>
        <v>Em andamento</v>
      </c>
      <c r="L43" s="58" t="s">
        <v>25</v>
      </c>
      <c r="M43" s="58" t="s">
        <v>70</v>
      </c>
      <c r="N43" s="5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7"/>
      <c r="FW43" s="27"/>
      <c r="FX43" s="27"/>
      <c r="FY43" s="27"/>
      <c r="FZ43" s="27"/>
      <c r="GA43" s="27"/>
      <c r="GB43" s="27"/>
      <c r="GC43" s="27"/>
      <c r="GD43" s="27"/>
      <c r="GE43" s="27"/>
      <c r="GF43" s="27"/>
      <c r="GG43" s="27"/>
      <c r="GH43" s="27"/>
      <c r="GI43" s="27"/>
      <c r="GJ43" s="27"/>
      <c r="GK43" s="27"/>
      <c r="GL43" s="27"/>
      <c r="GM43" s="27"/>
      <c r="GN43" s="27"/>
      <c r="GO43" s="27"/>
      <c r="GP43" s="27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</row>
    <row r="44" spans="2:215" s="27" customFormat="1" ht="18.95" customHeight="1">
      <c r="B44" s="88" t="s">
        <v>118</v>
      </c>
      <c r="C44" s="70" t="s">
        <v>20</v>
      </c>
      <c r="D44" s="52">
        <f>(I44-G44)+1</f>
        <v>1</v>
      </c>
      <c r="E44" s="52">
        <f>(J44-H44)+1</f>
        <v>1</v>
      </c>
      <c r="F44" s="53">
        <v>1</v>
      </c>
      <c r="G44" s="54">
        <v>43783</v>
      </c>
      <c r="H44" s="54">
        <v>43783</v>
      </c>
      <c r="I44" s="54">
        <v>43783</v>
      </c>
      <c r="J44" s="54">
        <v>43783</v>
      </c>
      <c r="K44" s="60"/>
      <c r="L44" s="54"/>
      <c r="M44" s="54"/>
      <c r="N44" s="55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</row>
    <row r="45" spans="2:215" s="99" customFormat="1" ht="18.95" customHeight="1">
      <c r="B45" s="89" t="s">
        <v>124</v>
      </c>
      <c r="C45" s="83" t="s">
        <v>116</v>
      </c>
      <c r="D45" s="100"/>
      <c r="E45" s="100"/>
      <c r="F45" s="101"/>
      <c r="G45" s="98"/>
      <c r="H45" s="98"/>
      <c r="I45" s="98">
        <f>(G45+ROUNDUP(D45,0)-1)</f>
        <v>-1</v>
      </c>
      <c r="J45" s="98">
        <f>(H45+ROUNDUP(E45,0))-1</f>
        <v>-1</v>
      </c>
      <c r="K45" s="98" t="str">
        <f ca="1">IF(F45=1,"Concluído",IF(AND(J45&lt;TODAY(),F60&lt;1),"Em atraso","Em andamento"))</f>
        <v>Em atraso</v>
      </c>
      <c r="L45" s="98"/>
      <c r="M45" s="98"/>
      <c r="N45" s="102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</row>
    <row r="46" spans="2:215" ht="18.95" customHeight="1" outlineLevel="1">
      <c r="B46" s="89" t="s">
        <v>125</v>
      </c>
      <c r="C46" s="71" t="s">
        <v>82</v>
      </c>
      <c r="D46" s="56">
        <v>0.5</v>
      </c>
      <c r="E46" s="56">
        <v>0.5</v>
      </c>
      <c r="F46" s="57">
        <v>0</v>
      </c>
      <c r="G46" s="58">
        <v>43783</v>
      </c>
      <c r="H46" s="58">
        <v>43783</v>
      </c>
      <c r="I46" s="58">
        <f t="shared" si="146"/>
        <v>43783</v>
      </c>
      <c r="J46" s="58">
        <f t="shared" si="144"/>
        <v>43783</v>
      </c>
      <c r="K46" s="58" t="str">
        <f t="shared" ca="1" si="145"/>
        <v>Em andamento</v>
      </c>
      <c r="L46" s="58" t="s">
        <v>26</v>
      </c>
      <c r="M46" s="58" t="s">
        <v>70</v>
      </c>
      <c r="N46" s="5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  <c r="EO46" s="27"/>
      <c r="EP46" s="27"/>
      <c r="EQ46" s="27"/>
      <c r="ER46" s="27"/>
      <c r="ES46" s="27"/>
      <c r="ET46" s="27"/>
      <c r="EU46" s="27"/>
      <c r="EV46" s="27"/>
      <c r="EW46" s="27"/>
      <c r="EX46" s="27"/>
      <c r="EY46" s="27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7"/>
      <c r="FW46" s="27"/>
      <c r="FX46" s="27"/>
      <c r="FY46" s="27"/>
      <c r="FZ46" s="27"/>
      <c r="GA46" s="27"/>
      <c r="GB46" s="27"/>
      <c r="GC46" s="27"/>
      <c r="GD46" s="27"/>
      <c r="GE46" s="27"/>
      <c r="GF46" s="27"/>
      <c r="GG46" s="27"/>
      <c r="GH46" s="27"/>
      <c r="GI46" s="27"/>
      <c r="GJ46" s="27"/>
      <c r="GK46" s="27"/>
      <c r="GL46" s="27"/>
      <c r="GM46" s="27"/>
      <c r="GN46" s="27"/>
      <c r="GO46" s="27"/>
      <c r="GP46" s="27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</row>
    <row r="47" spans="2:215" ht="15" outlineLevel="1">
      <c r="B47" s="89" t="s">
        <v>126</v>
      </c>
      <c r="C47" s="81" t="s">
        <v>83</v>
      </c>
      <c r="D47" s="56">
        <v>0.5</v>
      </c>
      <c r="E47" s="56">
        <v>0.5</v>
      </c>
      <c r="F47" s="57">
        <v>0</v>
      </c>
      <c r="G47" s="58">
        <v>43783</v>
      </c>
      <c r="H47" s="58">
        <v>43783</v>
      </c>
      <c r="I47" s="58">
        <f t="shared" si="146"/>
        <v>43783</v>
      </c>
      <c r="J47" s="58">
        <f t="shared" si="144"/>
        <v>43783</v>
      </c>
      <c r="K47" s="58" t="str">
        <f t="shared" ca="1" si="145"/>
        <v>Em andamento</v>
      </c>
      <c r="L47" s="58" t="s">
        <v>25</v>
      </c>
      <c r="M47" s="58" t="s">
        <v>70</v>
      </c>
      <c r="N47" s="5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27"/>
      <c r="EP47" s="27"/>
      <c r="EQ47" s="27"/>
      <c r="ER47" s="27"/>
      <c r="ES47" s="27"/>
      <c r="ET47" s="27"/>
      <c r="EU47" s="27"/>
      <c r="EV47" s="27"/>
      <c r="EW47" s="27"/>
      <c r="EX47" s="27"/>
      <c r="EY47" s="27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7"/>
      <c r="FU47" s="27"/>
      <c r="FV47" s="27"/>
      <c r="FW47" s="27"/>
      <c r="FX47" s="27"/>
      <c r="FY47" s="27"/>
      <c r="FZ47" s="27"/>
      <c r="GA47" s="27"/>
      <c r="GB47" s="27"/>
      <c r="GC47" s="27"/>
      <c r="GD47" s="27"/>
      <c r="GE47" s="27"/>
      <c r="GF47" s="27"/>
      <c r="GG47" s="27"/>
      <c r="GH47" s="27"/>
      <c r="GI47" s="27"/>
      <c r="GJ47" s="27"/>
      <c r="GK47" s="27"/>
      <c r="GL47" s="27"/>
      <c r="GM47" s="27"/>
      <c r="GN47" s="27"/>
      <c r="GO47" s="27"/>
      <c r="GP47" s="27"/>
      <c r="GQ47" s="27"/>
      <c r="GR47" s="27"/>
      <c r="GS47" s="27"/>
      <c r="GT47" s="27"/>
      <c r="GU47" s="27"/>
      <c r="GV47" s="27"/>
      <c r="GW47" s="27"/>
      <c r="GX47" s="27"/>
      <c r="GY47" s="27"/>
      <c r="GZ47" s="27"/>
      <c r="HA47" s="27"/>
      <c r="HB47" s="27"/>
      <c r="HC47" s="27"/>
      <c r="HD47" s="27"/>
      <c r="HE47" s="27"/>
      <c r="HF47" s="27"/>
      <c r="HG47" s="27"/>
    </row>
    <row r="48" spans="2:215" s="27" customFormat="1">
      <c r="B48" s="90"/>
      <c r="C48" s="28"/>
      <c r="D48" s="29"/>
      <c r="E48" s="29"/>
      <c r="F48" s="30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</row>
    <row r="49" spans="2:35" s="27" customFormat="1">
      <c r="B49" s="85"/>
      <c r="C49" s="28"/>
      <c r="D49" s="29"/>
      <c r="E49" s="29"/>
      <c r="F49" s="30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</row>
    <row r="50" spans="2:35" s="27" customFormat="1">
      <c r="B50" s="85"/>
      <c r="C50" s="28"/>
      <c r="D50" s="29"/>
      <c r="E50" s="29"/>
      <c r="F50" s="30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</row>
    <row r="51" spans="2:35" s="27" customFormat="1">
      <c r="B51" s="85"/>
      <c r="C51" s="28"/>
      <c r="D51" s="29"/>
      <c r="E51" s="29"/>
      <c r="F51" s="30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</row>
    <row r="52" spans="2:35" s="27" customFormat="1">
      <c r="B52" s="85"/>
      <c r="C52" s="28"/>
      <c r="D52" s="29"/>
      <c r="E52" s="29"/>
      <c r="F52" s="30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</row>
    <row r="53" spans="2:35" s="27" customFormat="1">
      <c r="B53" s="85"/>
      <c r="C53" s="28"/>
      <c r="D53" s="29"/>
      <c r="E53" s="29"/>
      <c r="F53" s="30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</row>
    <row r="54" spans="2:35" s="27" customFormat="1">
      <c r="B54" s="85"/>
      <c r="C54" s="28"/>
      <c r="D54" s="29"/>
      <c r="E54" s="29"/>
      <c r="F54" s="30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</row>
    <row r="55" spans="2:35" s="27" customFormat="1">
      <c r="B55" s="85"/>
      <c r="C55" s="28"/>
      <c r="D55" s="29"/>
      <c r="E55" s="29"/>
      <c r="F55" s="30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2:35" s="27" customFormat="1">
      <c r="B56" s="85"/>
      <c r="C56" s="28"/>
      <c r="D56" s="29"/>
      <c r="E56" s="29"/>
      <c r="F56" s="30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2:35" s="27" customFormat="1">
      <c r="B57" s="85"/>
      <c r="C57" s="28"/>
      <c r="D57" s="29"/>
      <c r="E57" s="29"/>
      <c r="F57" s="30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2:35" s="27" customFormat="1">
      <c r="B58" s="85"/>
      <c r="C58" s="28"/>
      <c r="D58" s="29"/>
      <c r="E58" s="29"/>
      <c r="F58" s="30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2:35" s="27" customFormat="1">
      <c r="B59" s="85"/>
      <c r="C59" s="28"/>
      <c r="D59" s="29"/>
      <c r="E59" s="29"/>
      <c r="F59" s="30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2:35" s="27" customFormat="1">
      <c r="B60" s="85"/>
      <c r="C60" s="28"/>
      <c r="D60" s="29"/>
      <c r="E60" s="29"/>
      <c r="F60" s="30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2:35" s="27" customFormat="1">
      <c r="B61" s="85"/>
      <c r="C61" s="28"/>
      <c r="D61" s="29"/>
      <c r="E61" s="29"/>
      <c r="F61" s="30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2:35" s="27" customFormat="1">
      <c r="B62" s="85"/>
      <c r="C62" s="28"/>
      <c r="D62" s="29"/>
      <c r="E62" s="29"/>
      <c r="F62" s="30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2:35" s="27" customFormat="1">
      <c r="B63" s="85"/>
      <c r="C63" s="28"/>
      <c r="D63" s="29"/>
      <c r="E63" s="29"/>
      <c r="F63" s="30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2:35" s="27" customFormat="1">
      <c r="B64" s="85"/>
      <c r="C64" s="28"/>
      <c r="D64" s="29"/>
      <c r="E64" s="29"/>
      <c r="F64" s="30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2:35" s="27" customFormat="1">
      <c r="B65" s="85"/>
      <c r="C65" s="28"/>
      <c r="D65" s="29"/>
      <c r="E65" s="29"/>
      <c r="F65" s="30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2:35" s="27" customFormat="1">
      <c r="B66" s="85"/>
      <c r="C66" s="28"/>
      <c r="D66" s="29"/>
      <c r="E66" s="29"/>
      <c r="F66" s="30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2:35" s="27" customFormat="1">
      <c r="B67" s="85"/>
      <c r="C67" s="28"/>
      <c r="D67" s="29"/>
      <c r="E67" s="29"/>
      <c r="F67" s="30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2:35" s="27" customFormat="1">
      <c r="B68" s="85"/>
      <c r="C68" s="28"/>
      <c r="D68" s="29"/>
      <c r="E68" s="29"/>
      <c r="F68" s="30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2:35" s="27" customFormat="1">
      <c r="B69" s="85"/>
      <c r="C69" s="28"/>
      <c r="D69" s="29"/>
      <c r="E69" s="29"/>
      <c r="F69" s="30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2:35" s="27" customFormat="1">
      <c r="B70" s="85"/>
      <c r="C70" s="28"/>
      <c r="D70" s="29"/>
      <c r="E70" s="29"/>
      <c r="F70" s="30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2:35" s="27" customFormat="1">
      <c r="B71" s="85"/>
      <c r="C71" s="28"/>
      <c r="D71" s="29"/>
      <c r="E71" s="29"/>
      <c r="F71" s="30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2:35" s="27" customFormat="1">
      <c r="B72" s="85"/>
      <c r="C72" s="28"/>
      <c r="D72" s="29"/>
      <c r="E72" s="29"/>
      <c r="F72" s="30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2:35" s="27" customFormat="1">
      <c r="B73" s="85"/>
      <c r="C73" s="28"/>
      <c r="D73" s="29"/>
      <c r="E73" s="29"/>
      <c r="F73" s="30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2:35" s="27" customFormat="1">
      <c r="B74" s="85"/>
      <c r="C74" s="28"/>
      <c r="D74" s="29"/>
      <c r="E74" s="29"/>
      <c r="F74" s="30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2:35" s="27" customFormat="1">
      <c r="B75" s="85"/>
      <c r="C75" s="28"/>
      <c r="D75" s="29"/>
      <c r="E75" s="29"/>
      <c r="F75" s="30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2:35" s="27" customFormat="1">
      <c r="B76" s="85"/>
      <c r="C76" s="28"/>
      <c r="D76" s="29"/>
      <c r="E76" s="29"/>
      <c r="F76" s="30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2:35" s="27" customFormat="1">
      <c r="B77" s="85"/>
      <c r="C77" s="28"/>
      <c r="D77" s="29"/>
      <c r="E77" s="29"/>
      <c r="F77" s="30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2:35" s="27" customFormat="1">
      <c r="B78" s="85"/>
      <c r="C78" s="28"/>
      <c r="D78" s="29"/>
      <c r="E78" s="29"/>
      <c r="F78" s="30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2:35" s="27" customFormat="1">
      <c r="B79" s="85"/>
      <c r="C79" s="28"/>
      <c r="D79" s="29"/>
      <c r="E79" s="29"/>
      <c r="F79" s="30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2:35" s="27" customFormat="1">
      <c r="B80" s="85"/>
      <c r="C80" s="28"/>
      <c r="D80" s="29"/>
      <c r="E80" s="29"/>
      <c r="F80" s="30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2:35" s="27" customFormat="1">
      <c r="B81" s="85"/>
      <c r="C81" s="28"/>
      <c r="D81" s="29"/>
      <c r="E81" s="29"/>
      <c r="F81" s="30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2:35" s="27" customFormat="1">
      <c r="B82" s="85"/>
      <c r="C82" s="28"/>
      <c r="D82" s="29"/>
      <c r="E82" s="29"/>
      <c r="F82" s="30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2:35" s="27" customFormat="1">
      <c r="B83" s="85"/>
      <c r="C83" s="28"/>
      <c r="D83" s="29"/>
      <c r="E83" s="29"/>
      <c r="F83" s="30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2:35" s="27" customFormat="1">
      <c r="B84" s="85"/>
      <c r="C84" s="28"/>
      <c r="D84" s="29"/>
      <c r="E84" s="29"/>
      <c r="F84" s="30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2:35" s="27" customFormat="1">
      <c r="B85" s="85"/>
      <c r="C85" s="28"/>
      <c r="D85" s="29"/>
      <c r="E85" s="29"/>
      <c r="F85" s="30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</row>
    <row r="86" spans="2:35" s="27" customFormat="1">
      <c r="B86" s="85"/>
      <c r="C86" s="28"/>
      <c r="D86" s="29"/>
      <c r="E86" s="29"/>
      <c r="F86" s="30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</row>
    <row r="87" spans="2:35" s="27" customFormat="1">
      <c r="B87" s="85"/>
      <c r="C87" s="28"/>
      <c r="D87" s="29"/>
      <c r="E87" s="29"/>
      <c r="F87" s="30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</row>
    <row r="88" spans="2:35" s="27" customFormat="1">
      <c r="B88" s="85"/>
      <c r="C88" s="28"/>
      <c r="D88" s="29"/>
      <c r="E88" s="29"/>
      <c r="F88" s="30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</row>
    <row r="89" spans="2:35" s="27" customFormat="1">
      <c r="B89" s="85"/>
      <c r="C89" s="28"/>
      <c r="D89" s="29"/>
      <c r="E89" s="29"/>
      <c r="F89" s="30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</row>
    <row r="90" spans="2:35" s="27" customFormat="1">
      <c r="B90" s="85"/>
      <c r="C90" s="28"/>
      <c r="D90" s="29"/>
      <c r="E90" s="29"/>
      <c r="F90" s="30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</row>
    <row r="91" spans="2:35" s="27" customFormat="1">
      <c r="B91" s="85"/>
      <c r="C91" s="28"/>
      <c r="D91" s="29"/>
      <c r="E91" s="29"/>
      <c r="F91" s="30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</row>
    <row r="92" spans="2:35" s="27" customFormat="1">
      <c r="B92" s="85"/>
      <c r="C92" s="28"/>
      <c r="D92" s="29"/>
      <c r="E92" s="29"/>
      <c r="F92" s="30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</row>
    <row r="93" spans="2:35" s="27" customFormat="1">
      <c r="B93" s="85"/>
      <c r="C93" s="28"/>
      <c r="D93" s="29"/>
      <c r="E93" s="29"/>
      <c r="F93" s="30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</row>
    <row r="94" spans="2:35" s="27" customFormat="1">
      <c r="B94" s="85"/>
      <c r="C94" s="28"/>
      <c r="D94" s="29"/>
      <c r="E94" s="29"/>
      <c r="F94" s="30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</row>
    <row r="95" spans="2:35" s="27" customFormat="1">
      <c r="B95" s="85"/>
      <c r="C95" s="28"/>
      <c r="D95" s="29"/>
      <c r="E95" s="29"/>
      <c r="F95" s="30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</row>
    <row r="96" spans="2:35" s="27" customFormat="1">
      <c r="B96" s="85"/>
      <c r="C96" s="28"/>
      <c r="D96" s="29"/>
      <c r="E96" s="29"/>
      <c r="F96" s="30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</row>
    <row r="97" spans="2:35" s="27" customFormat="1">
      <c r="B97" s="85"/>
      <c r="C97" s="28"/>
      <c r="D97" s="29"/>
      <c r="E97" s="29"/>
      <c r="F97" s="30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</row>
    <row r="98" spans="2:35" s="27" customFormat="1">
      <c r="B98" s="85"/>
      <c r="C98" s="28"/>
      <c r="D98" s="29"/>
      <c r="E98" s="29"/>
      <c r="F98" s="30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</row>
    <row r="99" spans="2:35" s="27" customFormat="1">
      <c r="B99" s="85"/>
      <c r="C99" s="28"/>
      <c r="D99" s="29"/>
      <c r="E99" s="29"/>
      <c r="F99" s="30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</row>
    <row r="100" spans="2:35" s="27" customFormat="1">
      <c r="B100" s="85"/>
      <c r="C100" s="28"/>
      <c r="D100" s="29"/>
      <c r="E100" s="29"/>
      <c r="F100" s="30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</row>
    <row r="101" spans="2:35" s="27" customFormat="1">
      <c r="B101" s="85"/>
      <c r="C101" s="28"/>
      <c r="D101" s="29"/>
      <c r="E101" s="29"/>
      <c r="F101" s="30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</row>
    <row r="102" spans="2:35" s="27" customFormat="1">
      <c r="B102" s="85"/>
      <c r="C102" s="28"/>
      <c r="D102" s="29"/>
      <c r="E102" s="29"/>
      <c r="F102" s="30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</row>
    <row r="103" spans="2:35" s="27" customFormat="1">
      <c r="B103" s="85"/>
      <c r="C103" s="28"/>
      <c r="D103" s="29"/>
      <c r="E103" s="29"/>
      <c r="F103" s="30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</row>
    <row r="104" spans="2:35" s="27" customFormat="1">
      <c r="B104" s="85"/>
      <c r="C104" s="28"/>
      <c r="D104" s="29"/>
      <c r="E104" s="29"/>
      <c r="F104" s="30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</row>
    <row r="105" spans="2:35" s="27" customFormat="1">
      <c r="B105" s="85"/>
      <c r="C105" s="28"/>
      <c r="D105" s="29"/>
      <c r="E105" s="29"/>
      <c r="F105" s="30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</row>
    <row r="106" spans="2:35" s="27" customFormat="1">
      <c r="B106" s="85"/>
      <c r="C106" s="28"/>
      <c r="D106" s="29"/>
      <c r="E106" s="29"/>
      <c r="F106" s="30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</row>
    <row r="107" spans="2:35" s="27" customFormat="1">
      <c r="B107" s="85"/>
      <c r="C107" s="28"/>
      <c r="D107" s="29"/>
      <c r="E107" s="29"/>
      <c r="F107" s="30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</row>
    <row r="108" spans="2:35" s="27" customFormat="1">
      <c r="B108" s="85"/>
      <c r="C108" s="28"/>
      <c r="D108" s="29"/>
      <c r="E108" s="29"/>
      <c r="F108" s="30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</row>
    <row r="109" spans="2:35" s="27" customFormat="1">
      <c r="B109" s="85"/>
      <c r="C109" s="28"/>
      <c r="D109" s="29"/>
      <c r="E109" s="29"/>
      <c r="F109" s="30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</row>
    <row r="110" spans="2:35" s="27" customFormat="1">
      <c r="B110" s="85"/>
      <c r="C110" s="28"/>
      <c r="D110" s="29"/>
      <c r="E110" s="29"/>
      <c r="F110" s="30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</row>
    <row r="111" spans="2:35" s="27" customFormat="1">
      <c r="B111" s="85"/>
      <c r="C111" s="28"/>
      <c r="D111" s="29"/>
      <c r="E111" s="29"/>
      <c r="F111" s="30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</row>
    <row r="112" spans="2:35" s="27" customFormat="1">
      <c r="B112" s="85"/>
      <c r="C112" s="28"/>
      <c r="D112" s="29"/>
      <c r="E112" s="29"/>
      <c r="F112" s="30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</row>
    <row r="113" spans="2:35" s="27" customFormat="1">
      <c r="B113" s="85"/>
      <c r="C113" s="28"/>
      <c r="D113" s="29"/>
      <c r="E113" s="29"/>
      <c r="F113" s="30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</row>
    <row r="114" spans="2:35" s="27" customFormat="1">
      <c r="B114" s="85"/>
      <c r="C114" s="28"/>
      <c r="D114" s="29"/>
      <c r="E114" s="29"/>
      <c r="F114" s="30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</row>
    <row r="115" spans="2:35" s="27" customFormat="1">
      <c r="B115" s="85"/>
      <c r="C115" s="28"/>
      <c r="D115" s="29"/>
      <c r="E115" s="29"/>
      <c r="F115" s="30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</row>
    <row r="116" spans="2:35" s="27" customFormat="1">
      <c r="B116" s="85"/>
      <c r="C116" s="28"/>
      <c r="D116" s="29"/>
      <c r="E116" s="29"/>
      <c r="F116" s="30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</row>
    <row r="117" spans="2:35" s="27" customFormat="1">
      <c r="B117" s="85"/>
      <c r="C117" s="28"/>
      <c r="D117" s="29"/>
      <c r="E117" s="29"/>
      <c r="F117" s="30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</row>
    <row r="118" spans="2:35" s="27" customFormat="1">
      <c r="B118" s="85"/>
      <c r="C118" s="28"/>
      <c r="D118" s="29"/>
      <c r="E118" s="29"/>
      <c r="F118" s="30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</row>
    <row r="119" spans="2:35" s="27" customFormat="1">
      <c r="B119" s="85"/>
      <c r="C119" s="28"/>
      <c r="D119" s="29"/>
      <c r="E119" s="29"/>
      <c r="F119" s="30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</row>
    <row r="120" spans="2:35" s="27" customFormat="1">
      <c r="B120" s="85"/>
      <c r="C120" s="28"/>
      <c r="D120" s="29"/>
      <c r="E120" s="29"/>
      <c r="F120" s="30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</row>
    <row r="121" spans="2:35" s="27" customFormat="1">
      <c r="B121" s="85"/>
      <c r="C121" s="28"/>
      <c r="D121" s="29"/>
      <c r="E121" s="29"/>
      <c r="F121" s="30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</row>
    <row r="122" spans="2:35" s="27" customFormat="1">
      <c r="B122" s="85"/>
      <c r="C122" s="28"/>
      <c r="D122" s="29"/>
      <c r="E122" s="29"/>
      <c r="F122" s="30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</row>
    <row r="123" spans="2:35" s="27" customFormat="1">
      <c r="B123" s="85"/>
      <c r="C123" s="28"/>
      <c r="D123" s="29"/>
      <c r="E123" s="29"/>
      <c r="F123" s="30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2:35" s="27" customFormat="1">
      <c r="B124" s="85"/>
      <c r="C124" s="28"/>
      <c r="D124" s="29"/>
      <c r="E124" s="29"/>
      <c r="F124" s="30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2:35" s="27" customFormat="1">
      <c r="B125" s="85"/>
      <c r="C125" s="28"/>
      <c r="D125" s="29"/>
      <c r="E125" s="29"/>
      <c r="F125" s="30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</row>
    <row r="126" spans="2:35" s="27" customFormat="1">
      <c r="B126" s="85"/>
      <c r="C126" s="28"/>
      <c r="D126" s="29"/>
      <c r="E126" s="29"/>
      <c r="F126" s="30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</row>
    <row r="127" spans="2:35" s="27" customFormat="1">
      <c r="B127" s="85"/>
      <c r="C127" s="28"/>
      <c r="D127" s="29"/>
      <c r="E127" s="29"/>
      <c r="F127" s="30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</row>
    <row r="128" spans="2:35" s="27" customFormat="1">
      <c r="B128" s="85"/>
      <c r="C128" s="28"/>
      <c r="D128" s="29"/>
      <c r="E128" s="29"/>
      <c r="F128" s="30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</row>
    <row r="129" spans="2:35" s="27" customFormat="1">
      <c r="B129" s="85"/>
      <c r="C129" s="28"/>
      <c r="D129" s="29"/>
      <c r="E129" s="29"/>
      <c r="F129" s="30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</row>
    <row r="130" spans="2:35" s="27" customFormat="1">
      <c r="B130" s="85"/>
      <c r="C130" s="28"/>
      <c r="D130" s="29"/>
      <c r="E130" s="29"/>
      <c r="F130" s="30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</row>
    <row r="131" spans="2:35" s="27" customFormat="1">
      <c r="B131" s="85"/>
      <c r="C131" s="28"/>
      <c r="D131" s="29"/>
      <c r="E131" s="29"/>
      <c r="F131" s="30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</row>
    <row r="132" spans="2:35" s="27" customFormat="1">
      <c r="B132" s="85"/>
      <c r="C132" s="28"/>
      <c r="D132" s="29"/>
      <c r="E132" s="29"/>
      <c r="F132" s="30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</row>
    <row r="133" spans="2:35" s="27" customFormat="1">
      <c r="B133" s="85"/>
      <c r="C133" s="28"/>
      <c r="D133" s="29"/>
      <c r="E133" s="29"/>
      <c r="F133" s="30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</row>
    <row r="134" spans="2:35" s="27" customFormat="1">
      <c r="B134" s="85"/>
      <c r="C134" s="28"/>
      <c r="D134" s="29"/>
      <c r="E134" s="29"/>
      <c r="F134" s="30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</row>
    <row r="135" spans="2:35" s="27" customFormat="1">
      <c r="B135" s="85"/>
      <c r="C135" s="28"/>
      <c r="D135" s="29"/>
      <c r="E135" s="29"/>
      <c r="F135" s="30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</row>
    <row r="136" spans="2:35" s="27" customFormat="1">
      <c r="B136" s="85"/>
      <c r="C136" s="28"/>
      <c r="D136" s="29"/>
      <c r="E136" s="29"/>
      <c r="F136" s="30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</row>
    <row r="137" spans="2:35" s="27" customFormat="1">
      <c r="B137" s="85"/>
      <c r="C137" s="28"/>
      <c r="D137" s="29"/>
      <c r="E137" s="29"/>
      <c r="F137" s="30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</row>
    <row r="138" spans="2:35" s="27" customFormat="1">
      <c r="B138" s="85"/>
      <c r="C138" s="28"/>
      <c r="D138" s="29"/>
      <c r="E138" s="29"/>
      <c r="F138" s="30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</row>
    <row r="139" spans="2:35" s="27" customFormat="1">
      <c r="B139" s="85"/>
      <c r="C139" s="28"/>
      <c r="D139" s="29"/>
      <c r="E139" s="29"/>
      <c r="F139" s="30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</row>
    <row r="140" spans="2:35" s="27" customFormat="1">
      <c r="B140" s="85"/>
      <c r="C140" s="28"/>
      <c r="D140" s="29"/>
      <c r="E140" s="29"/>
      <c r="F140" s="30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</row>
    <row r="141" spans="2:35" s="27" customFormat="1">
      <c r="B141" s="85"/>
      <c r="C141" s="28"/>
      <c r="D141" s="29"/>
      <c r="E141" s="29"/>
      <c r="F141" s="30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</row>
    <row r="142" spans="2:35" s="27" customFormat="1">
      <c r="B142" s="85"/>
      <c r="C142" s="28"/>
      <c r="D142" s="29"/>
      <c r="E142" s="29"/>
      <c r="F142" s="30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</row>
    <row r="143" spans="2:35" s="27" customFormat="1">
      <c r="B143" s="85"/>
      <c r="C143" s="28"/>
      <c r="D143" s="29"/>
      <c r="E143" s="29"/>
      <c r="F143" s="30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</row>
    <row r="144" spans="2:35" s="27" customFormat="1">
      <c r="B144" s="85"/>
      <c r="C144" s="28"/>
      <c r="D144" s="29"/>
      <c r="E144" s="29"/>
      <c r="F144" s="30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</row>
    <row r="145" spans="2:35" s="27" customFormat="1">
      <c r="B145" s="85"/>
      <c r="C145" s="28"/>
      <c r="D145" s="29"/>
      <c r="E145" s="29"/>
      <c r="F145" s="30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</row>
    <row r="146" spans="2:35" s="27" customFormat="1">
      <c r="B146" s="85"/>
      <c r="C146" s="28"/>
      <c r="D146" s="29"/>
      <c r="E146" s="29"/>
      <c r="F146" s="30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</row>
    <row r="147" spans="2:35" s="27" customFormat="1">
      <c r="B147" s="85"/>
      <c r="C147" s="28"/>
      <c r="D147" s="29"/>
      <c r="E147" s="29"/>
      <c r="F147" s="30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</row>
    <row r="148" spans="2:35" s="27" customFormat="1">
      <c r="B148" s="85"/>
      <c r="C148" s="28"/>
      <c r="D148" s="29"/>
      <c r="E148" s="29"/>
      <c r="F148" s="30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</row>
    <row r="149" spans="2:35" s="27" customFormat="1">
      <c r="B149" s="85"/>
      <c r="C149" s="28"/>
      <c r="D149" s="29"/>
      <c r="E149" s="29"/>
      <c r="F149" s="30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</row>
    <row r="150" spans="2:35" s="27" customFormat="1">
      <c r="B150" s="85"/>
      <c r="C150" s="28"/>
      <c r="D150" s="29"/>
      <c r="E150" s="29"/>
      <c r="F150" s="30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</row>
    <row r="151" spans="2:35" s="27" customFormat="1">
      <c r="B151" s="85"/>
      <c r="C151" s="28"/>
      <c r="D151" s="29"/>
      <c r="E151" s="29"/>
      <c r="F151" s="30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</row>
    <row r="152" spans="2:35" s="27" customFormat="1">
      <c r="B152" s="85"/>
      <c r="C152" s="28"/>
      <c r="D152" s="29"/>
      <c r="E152" s="29"/>
      <c r="F152" s="30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</row>
    <row r="153" spans="2:35" s="27" customFormat="1">
      <c r="B153" s="85"/>
      <c r="C153" s="28"/>
      <c r="D153" s="29"/>
      <c r="E153" s="29"/>
      <c r="F153" s="30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</row>
    <row r="154" spans="2:35" s="27" customFormat="1">
      <c r="B154" s="85"/>
      <c r="C154" s="28"/>
      <c r="D154" s="29"/>
      <c r="E154" s="29"/>
      <c r="F154" s="30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</row>
    <row r="155" spans="2:35" s="27" customFormat="1">
      <c r="B155" s="85"/>
      <c r="C155" s="28"/>
      <c r="D155" s="29"/>
      <c r="E155" s="29"/>
      <c r="F155" s="30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</row>
    <row r="156" spans="2:35" s="27" customFormat="1">
      <c r="B156" s="85"/>
      <c r="C156" s="28"/>
      <c r="D156" s="29"/>
      <c r="E156" s="29"/>
      <c r="F156" s="30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</row>
    <row r="157" spans="2:35" s="27" customFormat="1">
      <c r="B157" s="85"/>
      <c r="C157" s="28"/>
      <c r="D157" s="29"/>
      <c r="E157" s="29"/>
      <c r="F157" s="30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</row>
    <row r="158" spans="2:35" s="27" customFormat="1">
      <c r="B158" s="85"/>
      <c r="C158" s="28"/>
      <c r="D158" s="29"/>
      <c r="E158" s="29"/>
      <c r="F158" s="30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</row>
    <row r="159" spans="2:35" s="27" customFormat="1">
      <c r="B159" s="85"/>
      <c r="C159" s="28"/>
      <c r="D159" s="29"/>
      <c r="E159" s="29"/>
      <c r="F159" s="30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</row>
    <row r="160" spans="2:35" s="27" customFormat="1">
      <c r="B160" s="85"/>
      <c r="C160" s="28"/>
      <c r="D160" s="29"/>
      <c r="E160" s="29"/>
      <c r="F160" s="30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</row>
    <row r="161" spans="2:35" s="27" customFormat="1">
      <c r="B161" s="85"/>
      <c r="C161" s="28"/>
      <c r="D161" s="29"/>
      <c r="E161" s="29"/>
      <c r="F161" s="30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</row>
    <row r="162" spans="2:35" s="27" customFormat="1">
      <c r="B162" s="85"/>
      <c r="C162" s="28"/>
      <c r="D162" s="29"/>
      <c r="E162" s="29"/>
      <c r="F162" s="30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</row>
    <row r="163" spans="2:35" s="27" customFormat="1">
      <c r="B163" s="85"/>
      <c r="C163" s="28"/>
      <c r="D163" s="29"/>
      <c r="E163" s="29"/>
      <c r="F163" s="30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</row>
    <row r="164" spans="2:35" s="27" customFormat="1">
      <c r="B164" s="85"/>
      <c r="C164" s="28"/>
      <c r="D164" s="29"/>
      <c r="E164" s="29"/>
      <c r="F164" s="30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</row>
    <row r="165" spans="2:35" s="27" customFormat="1">
      <c r="B165" s="85"/>
      <c r="C165" s="28"/>
      <c r="D165" s="29"/>
      <c r="E165" s="29"/>
      <c r="F165" s="30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</row>
    <row r="166" spans="2:35" s="27" customFormat="1">
      <c r="B166" s="85"/>
      <c r="C166" s="28"/>
      <c r="D166" s="29"/>
      <c r="E166" s="29"/>
      <c r="F166" s="30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</row>
    <row r="167" spans="2:35" s="27" customFormat="1">
      <c r="B167" s="85"/>
      <c r="C167" s="28"/>
      <c r="D167" s="29"/>
      <c r="E167" s="29"/>
      <c r="F167" s="30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</row>
    <row r="168" spans="2:35" s="27" customFormat="1">
      <c r="B168" s="85"/>
      <c r="C168" s="28"/>
      <c r="D168" s="29"/>
      <c r="E168" s="29"/>
      <c r="F168" s="30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</row>
    <row r="169" spans="2:35" s="27" customFormat="1">
      <c r="B169" s="85"/>
      <c r="C169" s="28"/>
      <c r="D169" s="29"/>
      <c r="E169" s="29"/>
      <c r="F169" s="30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</row>
    <row r="170" spans="2:35" s="27" customFormat="1">
      <c r="B170" s="85"/>
      <c r="C170" s="28"/>
      <c r="D170" s="29"/>
      <c r="E170" s="29"/>
      <c r="F170" s="30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</row>
    <row r="171" spans="2:35" s="27" customFormat="1">
      <c r="B171" s="85"/>
      <c r="C171" s="28"/>
      <c r="D171" s="29"/>
      <c r="E171" s="29"/>
      <c r="F171" s="30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</row>
    <row r="172" spans="2:35" s="27" customFormat="1">
      <c r="B172" s="85"/>
      <c r="C172" s="28"/>
      <c r="D172" s="29"/>
      <c r="E172" s="29"/>
      <c r="F172" s="30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</row>
    <row r="173" spans="2:35" s="27" customFormat="1">
      <c r="B173" s="85"/>
      <c r="C173" s="28"/>
      <c r="D173" s="29"/>
      <c r="E173" s="29"/>
      <c r="F173" s="30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</row>
    <row r="174" spans="2:35" s="27" customFormat="1">
      <c r="B174" s="85"/>
      <c r="C174" s="28"/>
      <c r="D174" s="29"/>
      <c r="E174" s="29"/>
      <c r="F174" s="30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</row>
    <row r="175" spans="2:35" s="27" customFormat="1">
      <c r="B175" s="85"/>
      <c r="C175" s="28"/>
      <c r="D175" s="29"/>
      <c r="E175" s="29"/>
      <c r="F175" s="30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</row>
    <row r="176" spans="2:35" s="27" customFormat="1">
      <c r="B176" s="85"/>
      <c r="C176" s="28"/>
      <c r="D176" s="29"/>
      <c r="E176" s="29"/>
      <c r="F176" s="30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</row>
    <row r="177" spans="2:35" s="27" customFormat="1">
      <c r="B177" s="85"/>
      <c r="C177" s="28"/>
      <c r="D177" s="29"/>
      <c r="E177" s="29"/>
      <c r="F177" s="30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</row>
    <row r="178" spans="2:35" s="27" customFormat="1">
      <c r="B178" s="85"/>
      <c r="C178" s="28"/>
      <c r="D178" s="29"/>
      <c r="E178" s="29"/>
      <c r="F178" s="30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</row>
    <row r="179" spans="2:35" s="27" customFormat="1">
      <c r="B179" s="85"/>
      <c r="C179" s="28"/>
      <c r="D179" s="29"/>
      <c r="E179" s="29"/>
      <c r="F179" s="30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</row>
    <row r="180" spans="2:35" s="27" customFormat="1">
      <c r="B180" s="85"/>
      <c r="C180" s="28"/>
      <c r="D180" s="29"/>
      <c r="E180" s="29"/>
      <c r="F180" s="30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</row>
    <row r="181" spans="2:35" s="27" customFormat="1">
      <c r="B181" s="85"/>
      <c r="C181" s="28"/>
      <c r="D181" s="29"/>
      <c r="E181" s="29"/>
      <c r="F181" s="30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</row>
    <row r="182" spans="2:35" s="27" customFormat="1">
      <c r="B182" s="85"/>
      <c r="C182" s="28"/>
      <c r="D182" s="29"/>
      <c r="E182" s="29"/>
      <c r="F182" s="30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</row>
    <row r="183" spans="2:35" s="27" customFormat="1">
      <c r="B183" s="85"/>
      <c r="C183" s="28"/>
      <c r="D183" s="29"/>
      <c r="E183" s="29"/>
      <c r="F183" s="30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</row>
    <row r="184" spans="2:35" s="27" customFormat="1">
      <c r="B184" s="85"/>
      <c r="C184" s="28"/>
      <c r="D184" s="29"/>
      <c r="E184" s="29"/>
      <c r="F184" s="30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</row>
    <row r="185" spans="2:35" s="27" customFormat="1">
      <c r="B185" s="85"/>
      <c r="C185" s="28"/>
      <c r="D185" s="29"/>
      <c r="E185" s="29"/>
      <c r="F185" s="30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</row>
    <row r="186" spans="2:35" s="27" customFormat="1">
      <c r="B186" s="85"/>
      <c r="C186" s="28"/>
      <c r="D186" s="29"/>
      <c r="E186" s="29"/>
      <c r="F186" s="30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  <c r="AH186" s="29"/>
      <c r="AI186" s="29"/>
    </row>
    <row r="187" spans="2:35" s="27" customFormat="1">
      <c r="B187" s="85"/>
      <c r="C187" s="28"/>
      <c r="D187" s="29"/>
      <c r="E187" s="29"/>
      <c r="F187" s="30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</row>
    <row r="188" spans="2:35" s="27" customFormat="1">
      <c r="B188" s="85"/>
      <c r="C188" s="28"/>
      <c r="D188" s="29"/>
      <c r="E188" s="29"/>
      <c r="F188" s="30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</row>
    <row r="189" spans="2:35" s="27" customFormat="1">
      <c r="B189" s="85"/>
      <c r="C189" s="28"/>
      <c r="D189" s="29"/>
      <c r="E189" s="29"/>
      <c r="F189" s="30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</row>
    <row r="190" spans="2:35" s="27" customFormat="1">
      <c r="B190" s="85"/>
      <c r="C190" s="28"/>
      <c r="D190" s="29"/>
      <c r="E190" s="29"/>
      <c r="F190" s="30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</row>
    <row r="191" spans="2:35" s="27" customFormat="1">
      <c r="B191" s="85"/>
      <c r="C191" s="28"/>
      <c r="D191" s="29"/>
      <c r="E191" s="29"/>
      <c r="F191" s="30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</row>
    <row r="192" spans="2:35" s="27" customFormat="1">
      <c r="B192" s="85"/>
      <c r="C192" s="28"/>
      <c r="D192" s="29"/>
      <c r="E192" s="29"/>
      <c r="F192" s="30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</row>
    <row r="193" spans="2:35" s="27" customFormat="1">
      <c r="B193" s="85"/>
      <c r="C193" s="28"/>
      <c r="D193" s="29"/>
      <c r="E193" s="29"/>
      <c r="F193" s="30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</row>
    <row r="194" spans="2:35" s="27" customFormat="1">
      <c r="B194" s="85"/>
      <c r="C194" s="28"/>
      <c r="D194" s="29"/>
      <c r="E194" s="29"/>
      <c r="F194" s="30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  <c r="AH194" s="29"/>
      <c r="AI194" s="29"/>
    </row>
    <row r="195" spans="2:35" s="27" customFormat="1">
      <c r="B195" s="85"/>
      <c r="C195" s="28"/>
      <c r="D195" s="29"/>
      <c r="E195" s="29"/>
      <c r="F195" s="30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</row>
    <row r="196" spans="2:35" s="27" customFormat="1">
      <c r="B196" s="85"/>
      <c r="C196" s="28"/>
      <c r="D196" s="29"/>
      <c r="E196" s="29"/>
      <c r="F196" s="30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</row>
    <row r="197" spans="2:35" s="27" customFormat="1">
      <c r="B197" s="85"/>
      <c r="C197" s="28"/>
      <c r="D197" s="29"/>
      <c r="E197" s="29"/>
      <c r="F197" s="30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</row>
    <row r="198" spans="2:35" s="27" customFormat="1">
      <c r="B198" s="85"/>
      <c r="C198" s="28"/>
      <c r="D198" s="29"/>
      <c r="E198" s="29"/>
      <c r="F198" s="30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</row>
    <row r="199" spans="2:35" s="27" customFormat="1">
      <c r="B199" s="85"/>
      <c r="C199" s="28"/>
      <c r="D199" s="29"/>
      <c r="E199" s="29"/>
      <c r="F199" s="30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</row>
    <row r="200" spans="2:35" s="27" customFormat="1">
      <c r="B200" s="85"/>
      <c r="C200" s="28"/>
      <c r="D200" s="29"/>
      <c r="E200" s="29"/>
      <c r="F200" s="30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</row>
    <row r="201" spans="2:35" s="27" customFormat="1">
      <c r="B201" s="85"/>
      <c r="C201" s="28"/>
      <c r="D201" s="29"/>
      <c r="E201" s="29"/>
      <c r="F201" s="30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</row>
    <row r="202" spans="2:35" s="27" customFormat="1">
      <c r="B202" s="85"/>
      <c r="C202" s="28"/>
      <c r="D202" s="29"/>
      <c r="E202" s="29"/>
      <c r="F202" s="30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</row>
    <row r="203" spans="2:35" s="27" customFormat="1">
      <c r="B203" s="85"/>
      <c r="C203" s="28"/>
      <c r="D203" s="29"/>
      <c r="E203" s="29"/>
      <c r="F203" s="30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</row>
    <row r="204" spans="2:35" s="27" customFormat="1">
      <c r="B204" s="85"/>
      <c r="C204" s="28"/>
      <c r="D204" s="29"/>
      <c r="E204" s="29"/>
      <c r="F204" s="30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</row>
    <row r="205" spans="2:35" s="27" customFormat="1">
      <c r="B205" s="85"/>
      <c r="C205" s="28"/>
      <c r="D205" s="29"/>
      <c r="E205" s="29"/>
      <c r="F205" s="30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</row>
    <row r="206" spans="2:35" s="27" customFormat="1">
      <c r="B206" s="85"/>
      <c r="C206" s="28"/>
      <c r="D206" s="29"/>
      <c r="E206" s="29"/>
      <c r="F206" s="30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  <c r="AH206" s="29"/>
      <c r="AI206" s="29"/>
    </row>
    <row r="207" spans="2:35" s="27" customFormat="1">
      <c r="B207" s="85"/>
      <c r="C207" s="28"/>
      <c r="D207" s="29"/>
      <c r="E207" s="29"/>
      <c r="F207" s="30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</row>
    <row r="208" spans="2:35" s="27" customFormat="1">
      <c r="B208" s="85"/>
      <c r="C208" s="28"/>
      <c r="D208" s="29"/>
      <c r="E208" s="29"/>
      <c r="F208" s="30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  <c r="AH208" s="29"/>
      <c r="AI208" s="29"/>
    </row>
    <row r="209" spans="2:35" s="27" customFormat="1">
      <c r="B209" s="85"/>
      <c r="C209" s="28"/>
      <c r="D209" s="29"/>
      <c r="E209" s="29"/>
      <c r="F209" s="30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</row>
    <row r="210" spans="2:35" s="27" customFormat="1">
      <c r="B210" s="85"/>
      <c r="C210" s="28"/>
      <c r="D210" s="29"/>
      <c r="E210" s="29"/>
      <c r="F210" s="30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  <c r="AH210" s="29"/>
      <c r="AI210" s="29"/>
    </row>
    <row r="211" spans="2:35" s="27" customFormat="1">
      <c r="B211" s="85"/>
      <c r="C211" s="28"/>
      <c r="D211" s="29"/>
      <c r="E211" s="29"/>
      <c r="F211" s="30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</row>
    <row r="212" spans="2:35" s="27" customFormat="1">
      <c r="B212" s="85"/>
      <c r="C212" s="28"/>
      <c r="D212" s="29"/>
      <c r="E212" s="29"/>
      <c r="F212" s="30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  <c r="AH212" s="29"/>
      <c r="AI212" s="29"/>
    </row>
    <row r="213" spans="2:35" s="27" customFormat="1">
      <c r="B213" s="85"/>
      <c r="C213" s="28"/>
      <c r="D213" s="29"/>
      <c r="E213" s="29"/>
      <c r="F213" s="30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</row>
    <row r="214" spans="2:35" s="27" customFormat="1">
      <c r="B214" s="85"/>
      <c r="C214" s="28"/>
      <c r="D214" s="29"/>
      <c r="E214" s="29"/>
      <c r="F214" s="30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  <c r="AH214" s="29"/>
      <c r="AI214" s="29"/>
    </row>
    <row r="215" spans="2:35" s="27" customFormat="1">
      <c r="B215" s="85"/>
      <c r="C215" s="28"/>
      <c r="D215" s="29"/>
      <c r="E215" s="29"/>
      <c r="F215" s="30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</row>
    <row r="216" spans="2:35" s="27" customFormat="1">
      <c r="B216" s="85"/>
      <c r="C216" s="28"/>
      <c r="D216" s="29"/>
      <c r="E216" s="29"/>
      <c r="F216" s="30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  <c r="AH216" s="29"/>
      <c r="AI216" s="29"/>
    </row>
    <row r="217" spans="2:35" s="27" customFormat="1">
      <c r="B217" s="85"/>
      <c r="C217" s="28"/>
      <c r="D217" s="29"/>
      <c r="E217" s="29"/>
      <c r="F217" s="30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</row>
    <row r="218" spans="2:35" s="27" customFormat="1">
      <c r="B218" s="85"/>
      <c r="C218" s="28"/>
      <c r="D218" s="29"/>
      <c r="E218" s="29"/>
      <c r="F218" s="30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</row>
    <row r="219" spans="2:35" s="27" customFormat="1">
      <c r="B219" s="85"/>
      <c r="C219" s="28"/>
      <c r="D219" s="29"/>
      <c r="E219" s="29"/>
      <c r="F219" s="30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</row>
    <row r="220" spans="2:35" s="27" customFormat="1">
      <c r="B220" s="85"/>
      <c r="C220" s="28"/>
      <c r="D220" s="29"/>
      <c r="E220" s="29"/>
      <c r="F220" s="30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</row>
    <row r="221" spans="2:35" s="27" customFormat="1">
      <c r="B221" s="85"/>
      <c r="C221" s="28"/>
      <c r="D221" s="29"/>
      <c r="E221" s="29"/>
      <c r="F221" s="30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</row>
    <row r="222" spans="2:35" s="27" customFormat="1">
      <c r="B222" s="85"/>
      <c r="C222" s="28"/>
      <c r="D222" s="29"/>
      <c r="E222" s="29"/>
      <c r="F222" s="30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  <c r="AH222" s="29"/>
      <c r="AI222" s="29"/>
    </row>
    <row r="223" spans="2:35" s="27" customFormat="1">
      <c r="B223" s="85"/>
      <c r="C223" s="28"/>
      <c r="D223" s="29"/>
      <c r="E223" s="29"/>
      <c r="F223" s="30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</row>
    <row r="224" spans="2:35" s="27" customFormat="1">
      <c r="B224" s="85"/>
      <c r="C224" s="28"/>
      <c r="D224" s="29"/>
      <c r="E224" s="29"/>
      <c r="F224" s="30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  <c r="AH224" s="29"/>
      <c r="AI224" s="29"/>
    </row>
    <row r="225" spans="2:35" s="27" customFormat="1">
      <c r="B225" s="85"/>
      <c r="C225" s="28"/>
      <c r="D225" s="29"/>
      <c r="E225" s="29"/>
      <c r="F225" s="30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</row>
    <row r="226" spans="2:35" s="27" customFormat="1">
      <c r="B226" s="85"/>
      <c r="C226" s="28"/>
      <c r="D226" s="29"/>
      <c r="E226" s="29"/>
      <c r="F226" s="30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  <c r="AH226" s="29"/>
      <c r="AI226" s="29"/>
    </row>
    <row r="227" spans="2:35" s="27" customFormat="1">
      <c r="B227" s="85"/>
      <c r="C227" s="28"/>
      <c r="D227" s="29"/>
      <c r="E227" s="29"/>
      <c r="F227" s="30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</row>
    <row r="228" spans="2:35" s="27" customFormat="1">
      <c r="B228" s="85"/>
      <c r="C228" s="28"/>
      <c r="D228" s="29"/>
      <c r="E228" s="29"/>
      <c r="F228" s="30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  <c r="AH228" s="29"/>
      <c r="AI228" s="29"/>
    </row>
    <row r="229" spans="2:35" s="27" customFormat="1">
      <c r="B229" s="85"/>
      <c r="C229" s="28"/>
      <c r="D229" s="29"/>
      <c r="E229" s="29"/>
      <c r="F229" s="30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</row>
    <row r="230" spans="2:35" s="27" customFormat="1">
      <c r="B230" s="85"/>
      <c r="C230" s="28"/>
      <c r="D230" s="29"/>
      <c r="E230" s="29"/>
      <c r="F230" s="30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  <c r="AH230" s="29"/>
      <c r="AI230" s="29"/>
    </row>
    <row r="231" spans="2:35" s="27" customFormat="1">
      <c r="B231" s="85"/>
      <c r="C231" s="28"/>
      <c r="D231" s="29"/>
      <c r="E231" s="29"/>
      <c r="F231" s="30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</row>
    <row r="232" spans="2:35" s="27" customFormat="1">
      <c r="B232" s="85"/>
      <c r="C232" s="28"/>
      <c r="D232" s="29"/>
      <c r="E232" s="29"/>
      <c r="F232" s="30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  <c r="AH232" s="29"/>
      <c r="AI232" s="29"/>
    </row>
    <row r="233" spans="2:35" s="27" customFormat="1">
      <c r="B233" s="85"/>
      <c r="C233" s="28"/>
      <c r="D233" s="29"/>
      <c r="E233" s="29"/>
      <c r="F233" s="30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</row>
    <row r="234" spans="2:35" s="27" customFormat="1">
      <c r="B234" s="85"/>
      <c r="C234" s="28"/>
      <c r="D234" s="29"/>
      <c r="E234" s="29"/>
      <c r="F234" s="30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  <c r="AH234" s="29"/>
      <c r="AI234" s="29"/>
    </row>
    <row r="235" spans="2:35" s="27" customFormat="1">
      <c r="B235" s="85"/>
      <c r="C235" s="28"/>
      <c r="D235" s="29"/>
      <c r="E235" s="29"/>
      <c r="F235" s="30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</row>
    <row r="236" spans="2:35" s="27" customFormat="1">
      <c r="B236" s="85"/>
      <c r="C236" s="28"/>
      <c r="D236" s="29"/>
      <c r="E236" s="29"/>
      <c r="F236" s="30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  <c r="AH236" s="29"/>
      <c r="AI236" s="29"/>
    </row>
    <row r="237" spans="2:35" s="27" customFormat="1">
      <c r="B237" s="85"/>
      <c r="C237" s="28"/>
      <c r="D237" s="29"/>
      <c r="E237" s="29"/>
      <c r="F237" s="30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</row>
    <row r="238" spans="2:35" s="27" customFormat="1">
      <c r="B238" s="85"/>
      <c r="C238" s="28"/>
      <c r="D238" s="29"/>
      <c r="E238" s="29"/>
      <c r="F238" s="30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  <c r="AH238" s="29"/>
      <c r="AI238" s="29"/>
    </row>
    <row r="239" spans="2:35" s="27" customFormat="1">
      <c r="B239" s="85"/>
      <c r="C239" s="28"/>
      <c r="D239" s="29"/>
      <c r="E239" s="29"/>
      <c r="F239" s="30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</row>
    <row r="240" spans="2:35" s="27" customFormat="1">
      <c r="B240" s="85"/>
      <c r="C240" s="28"/>
      <c r="D240" s="29"/>
      <c r="E240" s="29"/>
      <c r="F240" s="30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  <c r="AH240" s="29"/>
      <c r="AI240" s="29"/>
    </row>
    <row r="241" spans="2:35" s="27" customFormat="1">
      <c r="B241" s="85"/>
      <c r="C241" s="28"/>
      <c r="D241" s="29"/>
      <c r="E241" s="29"/>
      <c r="F241" s="30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</row>
    <row r="242" spans="2:35" s="27" customFormat="1">
      <c r="B242" s="85"/>
      <c r="C242" s="28"/>
      <c r="D242" s="29"/>
      <c r="E242" s="29"/>
      <c r="F242" s="30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</row>
    <row r="243" spans="2:35" s="27" customFormat="1">
      <c r="B243" s="85"/>
      <c r="C243" s="28"/>
      <c r="D243" s="29"/>
      <c r="E243" s="29"/>
      <c r="F243" s="30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</row>
    <row r="244" spans="2:35" s="27" customFormat="1">
      <c r="B244" s="85"/>
      <c r="C244" s="28"/>
      <c r="D244" s="29"/>
      <c r="E244" s="29"/>
      <c r="F244" s="30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</row>
    <row r="245" spans="2:35" s="27" customFormat="1">
      <c r="B245" s="85"/>
      <c r="C245" s="28"/>
      <c r="D245" s="29"/>
      <c r="E245" s="29"/>
      <c r="F245" s="30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</row>
    <row r="246" spans="2:35" s="27" customFormat="1">
      <c r="B246" s="85"/>
      <c r="C246" s="28"/>
      <c r="D246" s="29"/>
      <c r="E246" s="29"/>
      <c r="F246" s="30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  <c r="AH246" s="29"/>
      <c r="AI246" s="29"/>
    </row>
    <row r="247" spans="2:35" s="27" customFormat="1">
      <c r="B247" s="85"/>
      <c r="C247" s="28"/>
      <c r="D247" s="29"/>
      <c r="E247" s="29"/>
      <c r="F247" s="30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</row>
    <row r="248" spans="2:35" s="27" customFormat="1">
      <c r="B248" s="85"/>
      <c r="C248" s="28"/>
      <c r="D248" s="29"/>
      <c r="E248" s="29"/>
      <c r="F248" s="30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I248" s="29"/>
    </row>
    <row r="249" spans="2:35" s="27" customFormat="1">
      <c r="B249" s="85"/>
      <c r="C249" s="28"/>
      <c r="D249" s="29"/>
      <c r="E249" s="29"/>
      <c r="F249" s="30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</row>
    <row r="250" spans="2:35" s="27" customFormat="1">
      <c r="B250" s="85"/>
      <c r="C250" s="28"/>
      <c r="D250" s="29"/>
      <c r="E250" s="29"/>
      <c r="F250" s="30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I250" s="29"/>
    </row>
    <row r="251" spans="2:35" s="27" customFormat="1">
      <c r="B251" s="85"/>
      <c r="C251" s="28"/>
      <c r="D251" s="29"/>
      <c r="E251" s="29"/>
      <c r="F251" s="30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</row>
    <row r="252" spans="2:35" s="27" customFormat="1">
      <c r="B252" s="85"/>
      <c r="C252" s="28"/>
      <c r="D252" s="29"/>
      <c r="E252" s="29"/>
      <c r="F252" s="30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I252" s="29"/>
    </row>
    <row r="253" spans="2:35" s="27" customFormat="1">
      <c r="B253" s="85"/>
      <c r="C253" s="28"/>
      <c r="D253" s="29"/>
      <c r="E253" s="29"/>
      <c r="F253" s="30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</row>
    <row r="254" spans="2:35" s="27" customFormat="1">
      <c r="B254" s="85"/>
      <c r="C254" s="28"/>
      <c r="D254" s="29"/>
      <c r="E254" s="29"/>
      <c r="F254" s="30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I254" s="29"/>
    </row>
    <row r="255" spans="2:35" s="27" customFormat="1">
      <c r="B255" s="85"/>
      <c r="C255" s="28"/>
      <c r="D255" s="29"/>
      <c r="E255" s="29"/>
      <c r="F255" s="30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</row>
    <row r="256" spans="2:35" s="27" customFormat="1">
      <c r="B256" s="85"/>
      <c r="C256" s="28"/>
      <c r="D256" s="29"/>
      <c r="E256" s="29"/>
      <c r="F256" s="30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I256" s="29"/>
    </row>
    <row r="257" spans="2:35" s="27" customFormat="1">
      <c r="B257" s="85"/>
      <c r="C257" s="28"/>
      <c r="D257" s="29"/>
      <c r="E257" s="29"/>
      <c r="F257" s="30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</row>
    <row r="258" spans="2:35" s="27" customFormat="1">
      <c r="B258" s="85"/>
      <c r="C258" s="28"/>
      <c r="D258" s="29"/>
      <c r="E258" s="29"/>
      <c r="F258" s="30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</row>
    <row r="259" spans="2:35" s="27" customFormat="1">
      <c r="B259" s="85"/>
      <c r="C259" s="28"/>
      <c r="D259" s="29"/>
      <c r="E259" s="29"/>
      <c r="F259" s="30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</row>
    <row r="260" spans="2:35" s="27" customFormat="1">
      <c r="B260" s="85"/>
      <c r="C260" s="28"/>
      <c r="D260" s="29"/>
      <c r="E260" s="29"/>
      <c r="F260" s="30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</row>
    <row r="261" spans="2:35" s="27" customFormat="1">
      <c r="B261" s="85"/>
      <c r="C261" s="28"/>
      <c r="D261" s="29"/>
      <c r="E261" s="29"/>
      <c r="F261" s="30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</row>
    <row r="262" spans="2:35" s="27" customFormat="1">
      <c r="B262" s="85"/>
      <c r="C262" s="28"/>
      <c r="D262" s="29"/>
      <c r="E262" s="29"/>
      <c r="F262" s="30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</row>
    <row r="263" spans="2:35" s="27" customFormat="1">
      <c r="B263" s="85"/>
      <c r="C263" s="28"/>
      <c r="D263" s="29"/>
      <c r="E263" s="29"/>
      <c r="F263" s="30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</row>
    <row r="264" spans="2:35" s="27" customFormat="1">
      <c r="B264" s="85"/>
      <c r="C264" s="28"/>
      <c r="D264" s="29"/>
      <c r="E264" s="29"/>
      <c r="F264" s="30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I264" s="29"/>
    </row>
    <row r="265" spans="2:35" s="27" customFormat="1">
      <c r="B265" s="85"/>
      <c r="C265" s="28"/>
      <c r="D265" s="29"/>
      <c r="E265" s="29"/>
      <c r="F265" s="30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</row>
    <row r="266" spans="2:35" s="27" customFormat="1">
      <c r="B266" s="85"/>
      <c r="C266" s="28"/>
      <c r="D266" s="29"/>
      <c r="E266" s="29"/>
      <c r="F266" s="30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</row>
    <row r="267" spans="2:35" s="27" customFormat="1">
      <c r="B267" s="85"/>
      <c r="C267" s="28"/>
      <c r="D267" s="29"/>
      <c r="E267" s="29"/>
      <c r="F267" s="30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</row>
    <row r="268" spans="2:35" s="27" customFormat="1">
      <c r="B268" s="85"/>
      <c r="C268" s="28"/>
      <c r="D268" s="29"/>
      <c r="E268" s="29"/>
      <c r="F268" s="30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</row>
    <row r="269" spans="2:35" s="27" customFormat="1">
      <c r="B269" s="85"/>
      <c r="C269" s="28"/>
      <c r="D269" s="29"/>
      <c r="E269" s="29"/>
      <c r="F269" s="30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</row>
    <row r="270" spans="2:35" s="27" customFormat="1">
      <c r="B270" s="85"/>
      <c r="C270" s="28"/>
      <c r="D270" s="29"/>
      <c r="E270" s="29"/>
      <c r="F270" s="30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</row>
    <row r="271" spans="2:35" s="27" customFormat="1">
      <c r="B271" s="85"/>
      <c r="C271" s="28"/>
      <c r="D271" s="29"/>
      <c r="E271" s="29"/>
      <c r="F271" s="30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</row>
    <row r="272" spans="2:35" s="27" customFormat="1">
      <c r="B272" s="85"/>
      <c r="C272" s="28"/>
      <c r="D272" s="29"/>
      <c r="E272" s="29"/>
      <c r="F272" s="30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</row>
    <row r="273" spans="2:35" s="27" customFormat="1">
      <c r="B273" s="85"/>
      <c r="C273" s="28"/>
      <c r="D273" s="29"/>
      <c r="E273" s="29"/>
      <c r="F273" s="30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</row>
    <row r="274" spans="2:35" s="27" customFormat="1">
      <c r="B274" s="85"/>
      <c r="C274" s="28"/>
      <c r="D274" s="29"/>
      <c r="E274" s="29"/>
      <c r="F274" s="30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  <c r="AH274" s="29"/>
      <c r="AI274" s="29"/>
    </row>
    <row r="275" spans="2:35" s="27" customFormat="1">
      <c r="B275" s="85"/>
      <c r="C275" s="28"/>
      <c r="D275" s="29"/>
      <c r="E275" s="29"/>
      <c r="F275" s="30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I275" s="29"/>
    </row>
    <row r="276" spans="2:35" s="27" customFormat="1">
      <c r="B276" s="85"/>
      <c r="C276" s="28"/>
      <c r="D276" s="29"/>
      <c r="E276" s="29"/>
      <c r="F276" s="30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29"/>
      <c r="AH276" s="29"/>
      <c r="AI276" s="29"/>
    </row>
    <row r="277" spans="2:35" s="27" customFormat="1">
      <c r="B277" s="85"/>
      <c r="C277" s="28"/>
      <c r="D277" s="29"/>
      <c r="E277" s="29"/>
      <c r="F277" s="30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</row>
    <row r="278" spans="2:35" s="27" customFormat="1">
      <c r="B278" s="85"/>
      <c r="C278" s="28"/>
      <c r="D278" s="29"/>
      <c r="E278" s="29"/>
      <c r="F278" s="30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I278" s="29"/>
    </row>
    <row r="279" spans="2:35" s="27" customFormat="1">
      <c r="B279" s="85"/>
      <c r="C279" s="28"/>
      <c r="D279" s="29"/>
      <c r="E279" s="29"/>
      <c r="F279" s="30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  <c r="AH279" s="29"/>
      <c r="AI279" s="29"/>
    </row>
    <row r="280" spans="2:35" s="27" customFormat="1">
      <c r="B280" s="85"/>
      <c r="C280" s="28"/>
      <c r="D280" s="29"/>
      <c r="E280" s="29"/>
      <c r="F280" s="30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29"/>
      <c r="AH280" s="29"/>
      <c r="AI280" s="29"/>
    </row>
    <row r="281" spans="2:35" s="27" customFormat="1">
      <c r="B281" s="85"/>
      <c r="C281" s="28"/>
      <c r="D281" s="29"/>
      <c r="E281" s="29"/>
      <c r="F281" s="30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  <c r="AH281" s="29"/>
      <c r="AI281" s="29"/>
    </row>
    <row r="282" spans="2:35" s="27" customFormat="1">
      <c r="B282" s="85"/>
      <c r="C282" s="28"/>
      <c r="D282" s="29"/>
      <c r="E282" s="29"/>
      <c r="F282" s="30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29"/>
      <c r="AH282" s="29"/>
      <c r="AI282" s="29"/>
    </row>
    <row r="283" spans="2:35" s="27" customFormat="1">
      <c r="B283" s="85"/>
      <c r="C283" s="28"/>
      <c r="D283" s="29"/>
      <c r="E283" s="29"/>
      <c r="F283" s="30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I283" s="29"/>
    </row>
    <row r="284" spans="2:35" s="27" customFormat="1">
      <c r="B284" s="85"/>
      <c r="C284" s="28"/>
      <c r="D284" s="29"/>
      <c r="E284" s="29"/>
      <c r="F284" s="30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/>
      <c r="AI284" s="29"/>
    </row>
    <row r="285" spans="2:35" s="27" customFormat="1">
      <c r="B285" s="85"/>
      <c r="C285" s="28"/>
      <c r="D285" s="29"/>
      <c r="E285" s="29"/>
      <c r="F285" s="30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  <c r="AH285" s="29"/>
      <c r="AI285" s="29"/>
    </row>
    <row r="286" spans="2:35" s="27" customFormat="1">
      <c r="B286" s="85"/>
      <c r="C286" s="28"/>
      <c r="D286" s="29"/>
      <c r="E286" s="29"/>
      <c r="F286" s="30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29"/>
      <c r="AH286" s="29"/>
      <c r="AI286" s="29"/>
    </row>
    <row r="287" spans="2:35" s="27" customFormat="1">
      <c r="B287" s="85"/>
      <c r="C287" s="28"/>
      <c r="D287" s="29"/>
      <c r="E287" s="29"/>
      <c r="F287" s="30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  <c r="AH287" s="29"/>
      <c r="AI287" s="29"/>
    </row>
    <row r="288" spans="2:35" s="27" customFormat="1">
      <c r="B288" s="85"/>
      <c r="C288" s="28"/>
      <c r="D288" s="29"/>
      <c r="E288" s="29"/>
      <c r="F288" s="30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29"/>
      <c r="AH288" s="29"/>
      <c r="AI288" s="29"/>
    </row>
    <row r="289" spans="2:35" s="27" customFormat="1">
      <c r="B289" s="85"/>
      <c r="C289" s="28"/>
      <c r="D289" s="29"/>
      <c r="E289" s="29"/>
      <c r="F289" s="30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  <c r="AH289" s="29"/>
      <c r="AI289" s="29"/>
    </row>
    <row r="290" spans="2:35" s="27" customFormat="1">
      <c r="B290" s="85"/>
      <c r="C290" s="28"/>
      <c r="D290" s="29"/>
      <c r="E290" s="29"/>
      <c r="F290" s="30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  <c r="AG290" s="29"/>
      <c r="AH290" s="29"/>
      <c r="AI290" s="29"/>
    </row>
    <row r="291" spans="2:35" s="27" customFormat="1">
      <c r="B291" s="85"/>
      <c r="C291" s="28"/>
      <c r="D291" s="29"/>
      <c r="E291" s="29"/>
      <c r="F291" s="30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  <c r="AH291" s="29"/>
      <c r="AI291" s="29"/>
    </row>
    <row r="292" spans="2:35" s="27" customFormat="1">
      <c r="B292" s="85"/>
      <c r="C292" s="28"/>
      <c r="D292" s="29"/>
      <c r="E292" s="29"/>
      <c r="F292" s="30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29"/>
      <c r="AH292" s="29"/>
      <c r="AI292" s="29"/>
    </row>
    <row r="293" spans="2:35" s="27" customFormat="1">
      <c r="B293" s="85"/>
      <c r="C293" s="28"/>
      <c r="D293" s="29"/>
      <c r="E293" s="29"/>
      <c r="F293" s="30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  <c r="AH293" s="29"/>
      <c r="AI293" s="29"/>
    </row>
    <row r="294" spans="2:35" s="27" customFormat="1">
      <c r="B294" s="85"/>
      <c r="C294" s="28"/>
      <c r="D294" s="29"/>
      <c r="E294" s="29"/>
      <c r="F294" s="30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29"/>
      <c r="AH294" s="29"/>
      <c r="AI294" s="29"/>
    </row>
    <row r="295" spans="2:35" s="27" customFormat="1">
      <c r="B295" s="85"/>
      <c r="C295" s="28"/>
      <c r="D295" s="29"/>
      <c r="E295" s="29"/>
      <c r="F295" s="30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  <c r="AH295" s="29"/>
      <c r="AI295" s="29"/>
    </row>
    <row r="296" spans="2:35" s="27" customFormat="1">
      <c r="B296" s="85"/>
      <c r="C296" s="28"/>
      <c r="D296" s="29"/>
      <c r="E296" s="29"/>
      <c r="F296" s="30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I296" s="29"/>
    </row>
    <row r="297" spans="2:35" s="27" customFormat="1">
      <c r="B297" s="85"/>
      <c r="C297" s="28"/>
      <c r="D297" s="29"/>
      <c r="E297" s="29"/>
      <c r="F297" s="30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  <c r="AH297" s="29"/>
      <c r="AI297" s="29"/>
    </row>
    <row r="298" spans="2:35" s="27" customFormat="1">
      <c r="B298" s="85"/>
      <c r="C298" s="28"/>
      <c r="D298" s="29"/>
      <c r="E298" s="29"/>
      <c r="F298" s="30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29"/>
      <c r="AH298" s="29"/>
      <c r="AI298" s="29"/>
    </row>
    <row r="299" spans="2:35" s="27" customFormat="1">
      <c r="B299" s="85"/>
      <c r="C299" s="28"/>
      <c r="D299" s="29"/>
      <c r="E299" s="29"/>
      <c r="F299" s="30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  <c r="AH299" s="29"/>
      <c r="AI299" s="29"/>
    </row>
    <row r="300" spans="2:35" s="27" customFormat="1">
      <c r="B300" s="85"/>
      <c r="C300" s="28"/>
      <c r="D300" s="29"/>
      <c r="E300" s="29"/>
      <c r="F300" s="30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29"/>
      <c r="AH300" s="29"/>
      <c r="AI300" s="29"/>
    </row>
    <row r="301" spans="2:35" s="27" customFormat="1">
      <c r="B301" s="85"/>
      <c r="C301" s="28"/>
      <c r="D301" s="29"/>
      <c r="E301" s="29"/>
      <c r="F301" s="30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  <c r="AH301" s="29"/>
      <c r="AI301" s="29"/>
    </row>
    <row r="302" spans="2:35" s="27" customFormat="1">
      <c r="B302" s="85"/>
      <c r="C302" s="28"/>
      <c r="D302" s="29"/>
      <c r="E302" s="29"/>
      <c r="F302" s="30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  <c r="AH302" s="29"/>
      <c r="AI302" s="29"/>
    </row>
    <row r="303" spans="2:35" s="27" customFormat="1">
      <c r="B303" s="85"/>
      <c r="C303" s="28"/>
      <c r="D303" s="29"/>
      <c r="E303" s="29"/>
      <c r="F303" s="30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  <c r="AH303" s="29"/>
      <c r="AI303" s="29"/>
    </row>
    <row r="304" spans="2:35" s="27" customFormat="1">
      <c r="B304" s="85"/>
      <c r="C304" s="28"/>
      <c r="D304" s="29"/>
      <c r="E304" s="29"/>
      <c r="F304" s="30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  <c r="AH304" s="29"/>
      <c r="AI304" s="29"/>
    </row>
    <row r="305" spans="2:35" s="27" customFormat="1">
      <c r="B305" s="85"/>
      <c r="C305" s="28"/>
      <c r="D305" s="29"/>
      <c r="E305" s="29"/>
      <c r="F305" s="30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I305" s="29"/>
    </row>
    <row r="306" spans="2:35" s="27" customFormat="1">
      <c r="B306" s="85"/>
      <c r="C306" s="28"/>
      <c r="D306" s="29"/>
      <c r="E306" s="29"/>
      <c r="F306" s="30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29"/>
      <c r="AH306" s="29"/>
      <c r="AI306" s="29"/>
    </row>
    <row r="307" spans="2:35" s="27" customFormat="1">
      <c r="B307" s="85"/>
      <c r="C307" s="28"/>
      <c r="D307" s="29"/>
      <c r="E307" s="29"/>
      <c r="F307" s="30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  <c r="AH307" s="29"/>
      <c r="AI307" s="29"/>
    </row>
    <row r="308" spans="2:35" s="27" customFormat="1">
      <c r="B308" s="85"/>
      <c r="C308" s="28"/>
      <c r="D308" s="29"/>
      <c r="E308" s="29"/>
      <c r="F308" s="30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  <c r="AD308" s="29"/>
      <c r="AE308" s="29"/>
      <c r="AF308" s="29"/>
      <c r="AG308" s="29"/>
      <c r="AH308" s="29"/>
      <c r="AI308" s="29"/>
    </row>
    <row r="309" spans="2:35" s="27" customFormat="1">
      <c r="B309" s="85"/>
      <c r="C309" s="28"/>
      <c r="D309" s="29"/>
      <c r="E309" s="29"/>
      <c r="F309" s="30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  <c r="AH309" s="29"/>
      <c r="AI309" s="29"/>
    </row>
    <row r="310" spans="2:35" s="27" customFormat="1">
      <c r="B310" s="85"/>
      <c r="C310" s="28"/>
      <c r="D310" s="29"/>
      <c r="E310" s="29"/>
      <c r="F310" s="30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29"/>
      <c r="AH310" s="29"/>
      <c r="AI310" s="29"/>
    </row>
    <row r="311" spans="2:35" s="27" customFormat="1">
      <c r="B311" s="85"/>
      <c r="C311" s="28"/>
      <c r="D311" s="29"/>
      <c r="E311" s="29"/>
      <c r="F311" s="30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  <c r="AH311" s="29"/>
      <c r="AI311" s="29"/>
    </row>
    <row r="312" spans="2:35" s="27" customFormat="1">
      <c r="B312" s="85"/>
      <c r="C312" s="28"/>
      <c r="D312" s="29"/>
      <c r="E312" s="29"/>
      <c r="F312" s="30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29"/>
      <c r="AH312" s="29"/>
      <c r="AI312" s="29"/>
    </row>
    <row r="313" spans="2:35" s="27" customFormat="1">
      <c r="B313" s="85"/>
      <c r="C313" s="28"/>
      <c r="D313" s="29"/>
      <c r="E313" s="29"/>
      <c r="F313" s="30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29"/>
      <c r="AH313" s="29"/>
      <c r="AI313" s="29"/>
    </row>
    <row r="314" spans="2:35" s="27" customFormat="1">
      <c r="B314" s="85"/>
      <c r="C314" s="28"/>
      <c r="D314" s="29"/>
      <c r="E314" s="29"/>
      <c r="F314" s="30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  <c r="AH314" s="29"/>
      <c r="AI314" s="29"/>
    </row>
    <row r="315" spans="2:35" s="27" customFormat="1">
      <c r="B315" s="85"/>
      <c r="C315" s="28"/>
      <c r="D315" s="29"/>
      <c r="E315" s="29"/>
      <c r="F315" s="30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  <c r="AH315" s="29"/>
      <c r="AI315" s="29"/>
    </row>
    <row r="316" spans="2:35" s="27" customFormat="1">
      <c r="B316" s="85"/>
      <c r="C316" s="28"/>
      <c r="D316" s="29"/>
      <c r="E316" s="29"/>
      <c r="F316" s="30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29"/>
      <c r="AH316" s="29"/>
      <c r="AI316" s="29"/>
    </row>
    <row r="317" spans="2:35" s="27" customFormat="1">
      <c r="B317" s="85"/>
      <c r="C317" s="28"/>
      <c r="D317" s="29"/>
      <c r="E317" s="29"/>
      <c r="F317" s="30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  <c r="AH317" s="29"/>
      <c r="AI317" s="29"/>
    </row>
    <row r="318" spans="2:35" s="27" customFormat="1">
      <c r="B318" s="85"/>
      <c r="C318" s="28"/>
      <c r="D318" s="29"/>
      <c r="E318" s="29"/>
      <c r="F318" s="30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  <c r="AH318" s="29"/>
      <c r="AI318" s="29"/>
    </row>
    <row r="319" spans="2:35" s="27" customFormat="1">
      <c r="B319" s="85"/>
      <c r="C319" s="28"/>
      <c r="D319" s="29"/>
      <c r="E319" s="29"/>
      <c r="F319" s="30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  <c r="AH319" s="29"/>
      <c r="AI319" s="29"/>
    </row>
    <row r="320" spans="2:35" s="27" customFormat="1">
      <c r="B320" s="85"/>
      <c r="C320" s="28"/>
      <c r="D320" s="29"/>
      <c r="E320" s="29"/>
      <c r="F320" s="30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  <c r="AH320" s="29"/>
      <c r="AI320" s="29"/>
    </row>
    <row r="321" spans="2:35" s="27" customFormat="1">
      <c r="B321" s="85"/>
      <c r="C321" s="28"/>
      <c r="D321" s="29"/>
      <c r="E321" s="29"/>
      <c r="F321" s="30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  <c r="AH321" s="29"/>
      <c r="AI321" s="29"/>
    </row>
    <row r="322" spans="2:35" s="27" customFormat="1">
      <c r="B322" s="85"/>
      <c r="C322" s="28"/>
      <c r="D322" s="29"/>
      <c r="E322" s="29"/>
      <c r="F322" s="30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  <c r="AH322" s="29"/>
      <c r="AI322" s="29"/>
    </row>
    <row r="323" spans="2:35" s="27" customFormat="1">
      <c r="B323" s="85"/>
      <c r="C323" s="28"/>
      <c r="D323" s="29"/>
      <c r="E323" s="29"/>
      <c r="F323" s="30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  <c r="AH323" s="29"/>
      <c r="AI323" s="29"/>
    </row>
    <row r="324" spans="2:35" s="27" customFormat="1">
      <c r="B324" s="85"/>
      <c r="C324" s="28"/>
      <c r="D324" s="29"/>
      <c r="E324" s="29"/>
      <c r="F324" s="30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  <c r="AH324" s="29"/>
      <c r="AI324" s="29"/>
    </row>
    <row r="325" spans="2:35" s="27" customFormat="1">
      <c r="B325" s="85"/>
      <c r="C325" s="28"/>
      <c r="D325" s="29"/>
      <c r="E325" s="29"/>
      <c r="F325" s="30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I325" s="29"/>
    </row>
    <row r="326" spans="2:35" s="27" customFormat="1">
      <c r="B326" s="85"/>
      <c r="C326" s="28"/>
      <c r="D326" s="29"/>
      <c r="E326" s="29"/>
      <c r="F326" s="30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29"/>
      <c r="AB326" s="29"/>
      <c r="AC326" s="29"/>
      <c r="AD326" s="29"/>
      <c r="AE326" s="29"/>
      <c r="AF326" s="29"/>
      <c r="AG326" s="29"/>
      <c r="AH326" s="29"/>
      <c r="AI326" s="29"/>
    </row>
    <row r="327" spans="2:35" s="27" customFormat="1">
      <c r="B327" s="85"/>
      <c r="C327" s="28"/>
      <c r="D327" s="29"/>
      <c r="E327" s="29"/>
      <c r="F327" s="30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  <c r="AH327" s="29"/>
      <c r="AI327" s="29"/>
    </row>
    <row r="328" spans="2:35" s="27" customFormat="1">
      <c r="B328" s="85"/>
      <c r="C328" s="28"/>
      <c r="D328" s="29"/>
      <c r="E328" s="29"/>
      <c r="F328" s="30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  <c r="AH328" s="29"/>
      <c r="AI328" s="29"/>
    </row>
    <row r="329" spans="2:35" s="27" customFormat="1">
      <c r="B329" s="85"/>
      <c r="C329" s="28"/>
      <c r="D329" s="29"/>
      <c r="E329" s="29"/>
      <c r="F329" s="30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  <c r="AH329" s="29"/>
      <c r="AI329" s="29"/>
    </row>
    <row r="330" spans="2:35" s="27" customFormat="1">
      <c r="B330" s="85"/>
      <c r="C330" s="28"/>
      <c r="D330" s="29"/>
      <c r="E330" s="29"/>
      <c r="F330" s="30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  <c r="AH330" s="29"/>
      <c r="AI330" s="29"/>
    </row>
    <row r="331" spans="2:35" s="27" customFormat="1">
      <c r="B331" s="85"/>
      <c r="C331" s="28"/>
      <c r="D331" s="29"/>
      <c r="E331" s="29"/>
      <c r="F331" s="30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  <c r="AH331" s="29"/>
      <c r="AI331" s="29"/>
    </row>
    <row r="332" spans="2:35" s="27" customFormat="1">
      <c r="B332" s="85"/>
      <c r="C332" s="28"/>
      <c r="D332" s="29"/>
      <c r="E332" s="29"/>
      <c r="F332" s="30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  <c r="AH332" s="29"/>
      <c r="AI332" s="29"/>
    </row>
    <row r="333" spans="2:35" s="27" customFormat="1">
      <c r="B333" s="85"/>
      <c r="C333" s="28"/>
      <c r="D333" s="29"/>
      <c r="E333" s="29"/>
      <c r="F333" s="30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  <c r="AH333" s="29"/>
      <c r="AI333" s="29"/>
    </row>
    <row r="334" spans="2:35" s="27" customFormat="1">
      <c r="B334" s="85"/>
      <c r="C334" s="28"/>
      <c r="D334" s="29"/>
      <c r="E334" s="29"/>
      <c r="F334" s="30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29"/>
      <c r="AH334" s="29"/>
      <c r="AI334" s="29"/>
    </row>
    <row r="335" spans="2:35" s="27" customFormat="1">
      <c r="B335" s="85"/>
      <c r="C335" s="28"/>
      <c r="D335" s="29"/>
      <c r="E335" s="29"/>
      <c r="F335" s="30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  <c r="AH335" s="29"/>
      <c r="AI335" s="29"/>
    </row>
    <row r="336" spans="2:35" s="27" customFormat="1">
      <c r="B336" s="85"/>
      <c r="C336" s="28"/>
      <c r="D336" s="29"/>
      <c r="E336" s="29"/>
      <c r="F336" s="30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29"/>
      <c r="AH336" s="29"/>
      <c r="AI336" s="29"/>
    </row>
    <row r="337" spans="2:35" s="27" customFormat="1">
      <c r="B337" s="85"/>
      <c r="C337" s="28"/>
      <c r="D337" s="29"/>
      <c r="E337" s="29"/>
      <c r="F337" s="30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</row>
    <row r="338" spans="2:35" s="27" customFormat="1">
      <c r="B338" s="85"/>
      <c r="C338" s="28"/>
      <c r="D338" s="29"/>
      <c r="E338" s="29"/>
      <c r="F338" s="30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  <c r="AH338" s="29"/>
      <c r="AI338" s="29"/>
    </row>
    <row r="339" spans="2:35" s="27" customFormat="1">
      <c r="B339" s="85"/>
      <c r="C339" s="28"/>
      <c r="D339" s="29"/>
      <c r="E339" s="29"/>
      <c r="F339" s="30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  <c r="AH339" s="29"/>
      <c r="AI339" s="29"/>
    </row>
    <row r="340" spans="2:35" s="27" customFormat="1">
      <c r="B340" s="85"/>
      <c r="C340" s="28"/>
      <c r="D340" s="29"/>
      <c r="E340" s="29"/>
      <c r="F340" s="30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  <c r="AH340" s="29"/>
      <c r="AI340" s="29"/>
    </row>
    <row r="341" spans="2:35" s="27" customFormat="1">
      <c r="B341" s="85"/>
      <c r="C341" s="28"/>
      <c r="D341" s="29"/>
      <c r="E341" s="29"/>
      <c r="F341" s="30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  <c r="AH341" s="29"/>
      <c r="AI341" s="29"/>
    </row>
    <row r="342" spans="2:35" s="27" customFormat="1">
      <c r="B342" s="85"/>
      <c r="C342" s="28"/>
      <c r="D342" s="29"/>
      <c r="E342" s="29"/>
      <c r="F342" s="30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  <c r="AH342" s="29"/>
      <c r="AI342" s="29"/>
    </row>
    <row r="343" spans="2:35" s="27" customFormat="1">
      <c r="B343" s="85"/>
      <c r="C343" s="28"/>
      <c r="D343" s="29"/>
      <c r="E343" s="29"/>
      <c r="F343" s="30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  <c r="AH343" s="29"/>
      <c r="AI343" s="29"/>
    </row>
    <row r="344" spans="2:35" s="27" customFormat="1">
      <c r="B344" s="85"/>
      <c r="C344" s="28"/>
      <c r="D344" s="29"/>
      <c r="E344" s="29"/>
      <c r="F344" s="30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  <c r="AH344" s="29"/>
      <c r="AI344" s="29"/>
    </row>
    <row r="345" spans="2:35" s="27" customFormat="1">
      <c r="B345" s="85"/>
      <c r="C345" s="28"/>
      <c r="D345" s="29"/>
      <c r="E345" s="29"/>
      <c r="F345" s="30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  <c r="AH345" s="29"/>
      <c r="AI345" s="29"/>
    </row>
    <row r="346" spans="2:35" s="27" customFormat="1">
      <c r="B346" s="85"/>
      <c r="C346" s="28"/>
      <c r="D346" s="29"/>
      <c r="E346" s="29"/>
      <c r="F346" s="30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29"/>
      <c r="AH346" s="29"/>
      <c r="AI346" s="29"/>
    </row>
    <row r="347" spans="2:35" s="27" customFormat="1">
      <c r="B347" s="85"/>
      <c r="C347" s="28"/>
      <c r="D347" s="29"/>
      <c r="E347" s="29"/>
      <c r="F347" s="30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  <c r="AH347" s="29"/>
      <c r="AI347" s="29"/>
    </row>
    <row r="348" spans="2:35" s="27" customFormat="1">
      <c r="B348" s="85"/>
      <c r="C348" s="28"/>
      <c r="D348" s="29"/>
      <c r="E348" s="29"/>
      <c r="F348" s="30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29"/>
      <c r="AH348" s="29"/>
      <c r="AI348" s="29"/>
    </row>
    <row r="349" spans="2:35" s="27" customFormat="1">
      <c r="B349" s="85"/>
      <c r="C349" s="28"/>
      <c r="D349" s="29"/>
      <c r="E349" s="29"/>
      <c r="F349" s="30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  <c r="AH349" s="29"/>
      <c r="AI349" s="29"/>
    </row>
    <row r="350" spans="2:35" s="27" customFormat="1">
      <c r="B350" s="85"/>
      <c r="C350" s="28"/>
      <c r="D350" s="29"/>
      <c r="E350" s="29"/>
      <c r="F350" s="30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  <c r="AH350" s="29"/>
      <c r="AI350" s="29"/>
    </row>
    <row r="351" spans="2:35" s="27" customFormat="1">
      <c r="B351" s="85"/>
      <c r="C351" s="28"/>
      <c r="D351" s="29"/>
      <c r="E351" s="29"/>
      <c r="F351" s="30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  <c r="AH351" s="29"/>
      <c r="AI351" s="29"/>
    </row>
    <row r="352" spans="2:35" s="27" customFormat="1">
      <c r="B352" s="85"/>
      <c r="C352" s="28"/>
      <c r="D352" s="29"/>
      <c r="E352" s="29"/>
      <c r="F352" s="30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  <c r="AH352" s="29"/>
      <c r="AI352" s="29"/>
    </row>
    <row r="353" spans="2:35" s="27" customFormat="1">
      <c r="B353" s="85"/>
      <c r="C353" s="28"/>
      <c r="D353" s="29"/>
      <c r="E353" s="29"/>
      <c r="F353" s="30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  <c r="AH353" s="29"/>
      <c r="AI353" s="29"/>
    </row>
    <row r="354" spans="2:35" s="27" customFormat="1">
      <c r="B354" s="85"/>
      <c r="C354" s="28"/>
      <c r="D354" s="29"/>
      <c r="E354" s="29"/>
      <c r="F354" s="30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  <c r="AH354" s="29"/>
      <c r="AI354" s="29"/>
    </row>
    <row r="355" spans="2:35" s="27" customFormat="1">
      <c r="B355" s="85"/>
      <c r="C355" s="28"/>
      <c r="D355" s="29"/>
      <c r="E355" s="29"/>
      <c r="F355" s="30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  <c r="AH355" s="29"/>
      <c r="AI355" s="29"/>
    </row>
    <row r="356" spans="2:35" s="27" customFormat="1">
      <c r="B356" s="85"/>
      <c r="C356" s="28"/>
      <c r="D356" s="29"/>
      <c r="E356" s="29"/>
      <c r="F356" s="30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29"/>
      <c r="AB356" s="29"/>
      <c r="AC356" s="29"/>
      <c r="AD356" s="29"/>
      <c r="AE356" s="29"/>
      <c r="AF356" s="29"/>
      <c r="AG356" s="29"/>
      <c r="AH356" s="29"/>
      <c r="AI356" s="29"/>
    </row>
    <row r="357" spans="2:35" s="27" customFormat="1">
      <c r="B357" s="85"/>
      <c r="C357" s="28"/>
      <c r="D357" s="29"/>
      <c r="E357" s="29"/>
      <c r="F357" s="30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  <c r="AH357" s="29"/>
      <c r="AI357" s="29"/>
    </row>
    <row r="358" spans="2:35" s="27" customFormat="1">
      <c r="B358" s="85"/>
      <c r="C358" s="28"/>
      <c r="D358" s="29"/>
      <c r="E358" s="29"/>
      <c r="F358" s="30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  <c r="AH358" s="29"/>
      <c r="AI358" s="29"/>
    </row>
    <row r="359" spans="2:35" s="27" customFormat="1">
      <c r="B359" s="85"/>
      <c r="C359" s="28"/>
      <c r="D359" s="29"/>
      <c r="E359" s="29"/>
      <c r="F359" s="30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  <c r="AH359" s="29"/>
      <c r="AI359" s="29"/>
    </row>
    <row r="360" spans="2:35" s="27" customFormat="1">
      <c r="B360" s="85"/>
      <c r="C360" s="28"/>
      <c r="D360" s="29"/>
      <c r="E360" s="29"/>
      <c r="F360" s="30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29"/>
      <c r="AH360" s="29"/>
      <c r="AI360" s="29"/>
    </row>
    <row r="361" spans="2:35" s="27" customFormat="1">
      <c r="B361" s="85"/>
      <c r="C361" s="28"/>
      <c r="D361" s="29"/>
      <c r="E361" s="29"/>
      <c r="F361" s="30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  <c r="AH361" s="29"/>
      <c r="AI361" s="29"/>
    </row>
    <row r="362" spans="2:35" s="27" customFormat="1">
      <c r="B362" s="85"/>
      <c r="C362" s="28"/>
      <c r="D362" s="29"/>
      <c r="E362" s="29"/>
      <c r="F362" s="30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29"/>
      <c r="AB362" s="29"/>
      <c r="AC362" s="29"/>
      <c r="AD362" s="29"/>
      <c r="AE362" s="29"/>
      <c r="AF362" s="29"/>
      <c r="AG362" s="29"/>
      <c r="AH362" s="29"/>
      <c r="AI362" s="29"/>
    </row>
    <row r="363" spans="2:35" s="27" customFormat="1">
      <c r="B363" s="85"/>
      <c r="C363" s="28"/>
      <c r="D363" s="29"/>
      <c r="E363" s="29"/>
      <c r="F363" s="30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29"/>
      <c r="AH363" s="29"/>
      <c r="AI363" s="29"/>
    </row>
    <row r="364" spans="2:35" s="27" customFormat="1">
      <c r="B364" s="85"/>
      <c r="C364" s="28"/>
      <c r="D364" s="29"/>
      <c r="E364" s="29"/>
      <c r="F364" s="30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29"/>
      <c r="AH364" s="29"/>
      <c r="AI364" s="29"/>
    </row>
    <row r="365" spans="2:35" s="27" customFormat="1">
      <c r="B365" s="85"/>
      <c r="C365" s="28"/>
      <c r="D365" s="29"/>
      <c r="E365" s="29"/>
      <c r="F365" s="30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  <c r="AD365" s="29"/>
      <c r="AE365" s="29"/>
      <c r="AF365" s="29"/>
      <c r="AG365" s="29"/>
      <c r="AH365" s="29"/>
      <c r="AI365" s="29"/>
    </row>
    <row r="366" spans="2:35" s="27" customFormat="1">
      <c r="B366" s="85"/>
      <c r="C366" s="28"/>
      <c r="D366" s="29"/>
      <c r="E366" s="29"/>
      <c r="F366" s="30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29"/>
      <c r="AH366" s="29"/>
      <c r="AI366" s="29"/>
    </row>
    <row r="367" spans="2:35" s="27" customFormat="1">
      <c r="B367" s="85"/>
      <c r="C367" s="28"/>
      <c r="D367" s="29"/>
      <c r="E367" s="29"/>
      <c r="F367" s="30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29"/>
      <c r="AH367" s="29"/>
      <c r="AI367" s="29"/>
    </row>
    <row r="368" spans="2:35" s="27" customFormat="1">
      <c r="B368" s="85"/>
      <c r="C368" s="28"/>
      <c r="D368" s="29"/>
      <c r="E368" s="29"/>
      <c r="F368" s="30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29"/>
      <c r="AB368" s="29"/>
      <c r="AC368" s="29"/>
      <c r="AD368" s="29"/>
      <c r="AE368" s="29"/>
      <c r="AF368" s="29"/>
      <c r="AG368" s="29"/>
      <c r="AH368" s="29"/>
      <c r="AI368" s="29"/>
    </row>
    <row r="369" spans="2:35" s="27" customFormat="1">
      <c r="B369" s="85"/>
      <c r="C369" s="28"/>
      <c r="D369" s="29"/>
      <c r="E369" s="29"/>
      <c r="F369" s="30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29"/>
      <c r="AH369" s="29"/>
      <c r="AI369" s="29"/>
    </row>
    <row r="370" spans="2:35" s="27" customFormat="1">
      <c r="B370" s="85"/>
      <c r="C370" s="28"/>
      <c r="D370" s="29"/>
      <c r="E370" s="29"/>
      <c r="F370" s="30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29"/>
      <c r="AH370" s="29"/>
      <c r="AI370" s="29"/>
    </row>
    <row r="371" spans="2:35" s="27" customFormat="1">
      <c r="B371" s="85"/>
      <c r="C371" s="28"/>
      <c r="D371" s="29"/>
      <c r="E371" s="29"/>
      <c r="F371" s="30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  <c r="AD371" s="29"/>
      <c r="AE371" s="29"/>
      <c r="AF371" s="29"/>
      <c r="AG371" s="29"/>
      <c r="AH371" s="29"/>
      <c r="AI371" s="29"/>
    </row>
    <row r="372" spans="2:35" s="27" customFormat="1">
      <c r="B372" s="85"/>
      <c r="C372" s="28"/>
      <c r="D372" s="29"/>
      <c r="E372" s="29"/>
      <c r="F372" s="30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29"/>
      <c r="AH372" s="29"/>
      <c r="AI372" s="29"/>
    </row>
    <row r="373" spans="2:35" s="27" customFormat="1">
      <c r="B373" s="85"/>
      <c r="C373" s="28"/>
      <c r="D373" s="29"/>
      <c r="E373" s="29"/>
      <c r="F373" s="30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29"/>
      <c r="AH373" s="29"/>
      <c r="AI373" s="29"/>
    </row>
    <row r="374" spans="2:35" s="27" customFormat="1">
      <c r="B374" s="85"/>
      <c r="C374" s="28"/>
      <c r="D374" s="29"/>
      <c r="E374" s="29"/>
      <c r="F374" s="30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29"/>
      <c r="AB374" s="29"/>
      <c r="AC374" s="29"/>
      <c r="AD374" s="29"/>
      <c r="AE374" s="29"/>
      <c r="AF374" s="29"/>
      <c r="AG374" s="29"/>
      <c r="AH374" s="29"/>
      <c r="AI374" s="29"/>
    </row>
    <row r="375" spans="2:35" s="27" customFormat="1">
      <c r="B375" s="85"/>
      <c r="C375" s="28"/>
      <c r="D375" s="29"/>
      <c r="E375" s="29"/>
      <c r="F375" s="30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29"/>
      <c r="AH375" s="29"/>
      <c r="AI375" s="29"/>
    </row>
    <row r="376" spans="2:35" s="27" customFormat="1">
      <c r="B376" s="85"/>
      <c r="C376" s="28"/>
      <c r="D376" s="29"/>
      <c r="E376" s="29"/>
      <c r="F376" s="30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29"/>
      <c r="AH376" s="29"/>
      <c r="AI376" s="29"/>
    </row>
    <row r="377" spans="2:35" s="27" customFormat="1">
      <c r="B377" s="85"/>
      <c r="C377" s="28"/>
      <c r="D377" s="29"/>
      <c r="E377" s="29"/>
      <c r="F377" s="30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  <c r="AD377" s="29"/>
      <c r="AE377" s="29"/>
      <c r="AF377" s="29"/>
      <c r="AG377" s="29"/>
      <c r="AH377" s="29"/>
      <c r="AI377" s="29"/>
    </row>
    <row r="378" spans="2:35" s="27" customFormat="1">
      <c r="B378" s="85"/>
      <c r="C378" s="28"/>
      <c r="D378" s="29"/>
      <c r="E378" s="29"/>
      <c r="F378" s="30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29"/>
      <c r="AH378" s="29"/>
      <c r="AI378" s="29"/>
    </row>
    <row r="379" spans="2:35" s="27" customFormat="1">
      <c r="B379" s="85"/>
      <c r="C379" s="28"/>
      <c r="D379" s="29"/>
      <c r="E379" s="29"/>
      <c r="F379" s="30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29"/>
      <c r="AH379" s="29"/>
      <c r="AI379" s="29"/>
    </row>
    <row r="380" spans="2:35" s="27" customFormat="1">
      <c r="B380" s="85"/>
      <c r="C380" s="28"/>
      <c r="D380" s="29"/>
      <c r="E380" s="29"/>
      <c r="F380" s="30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29"/>
      <c r="AB380" s="29"/>
      <c r="AC380" s="29"/>
      <c r="AD380" s="29"/>
      <c r="AE380" s="29"/>
      <c r="AF380" s="29"/>
      <c r="AG380" s="29"/>
      <c r="AH380" s="29"/>
      <c r="AI380" s="29"/>
    </row>
    <row r="381" spans="2:35" s="27" customFormat="1">
      <c r="B381" s="85"/>
      <c r="C381" s="28"/>
      <c r="D381" s="29"/>
      <c r="E381" s="29"/>
      <c r="F381" s="30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29"/>
      <c r="AH381" s="29"/>
      <c r="AI381" s="29"/>
    </row>
    <row r="382" spans="2:35" s="27" customFormat="1">
      <c r="B382" s="85"/>
      <c r="C382" s="28"/>
      <c r="D382" s="29"/>
      <c r="E382" s="29"/>
      <c r="F382" s="30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29"/>
      <c r="AH382" s="29"/>
      <c r="AI382" s="29"/>
    </row>
    <row r="383" spans="2:35" s="27" customFormat="1">
      <c r="B383" s="85"/>
      <c r="C383" s="28"/>
      <c r="D383" s="29"/>
      <c r="E383" s="29"/>
      <c r="F383" s="30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  <c r="AD383" s="29"/>
      <c r="AE383" s="29"/>
      <c r="AF383" s="29"/>
      <c r="AG383" s="29"/>
      <c r="AH383" s="29"/>
      <c r="AI383" s="29"/>
    </row>
    <row r="384" spans="2:35" s="27" customFormat="1">
      <c r="B384" s="85"/>
      <c r="C384" s="28"/>
      <c r="D384" s="29"/>
      <c r="E384" s="29"/>
      <c r="F384" s="30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29"/>
      <c r="AH384" s="29"/>
      <c r="AI384" s="29"/>
    </row>
    <row r="385" spans="2:35" s="27" customFormat="1">
      <c r="B385" s="85"/>
      <c r="C385" s="28"/>
      <c r="D385" s="29"/>
      <c r="E385" s="29"/>
      <c r="F385" s="30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  <c r="AH385" s="29"/>
      <c r="AI385" s="29"/>
    </row>
    <row r="386" spans="2:35" s="27" customFormat="1">
      <c r="B386" s="85"/>
      <c r="C386" s="28"/>
      <c r="D386" s="29"/>
      <c r="E386" s="29"/>
      <c r="F386" s="30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29"/>
      <c r="AB386" s="29"/>
      <c r="AC386" s="29"/>
      <c r="AD386" s="29"/>
      <c r="AE386" s="29"/>
      <c r="AF386" s="29"/>
      <c r="AG386" s="29"/>
      <c r="AH386" s="29"/>
      <c r="AI386" s="29"/>
    </row>
    <row r="387" spans="2:35" s="27" customFormat="1">
      <c r="B387" s="85"/>
      <c r="C387" s="28"/>
      <c r="D387" s="29"/>
      <c r="E387" s="29"/>
      <c r="F387" s="30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  <c r="AH387" s="29"/>
      <c r="AI387" s="29"/>
    </row>
    <row r="388" spans="2:35" s="27" customFormat="1">
      <c r="B388" s="85"/>
      <c r="C388" s="28"/>
      <c r="D388" s="29"/>
      <c r="E388" s="29"/>
      <c r="F388" s="30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29"/>
      <c r="AH388" s="29"/>
      <c r="AI388" s="29"/>
    </row>
    <row r="389" spans="2:35" s="27" customFormat="1">
      <c r="B389" s="85"/>
      <c r="C389" s="28"/>
      <c r="D389" s="29"/>
      <c r="E389" s="29"/>
      <c r="F389" s="30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  <c r="AH389" s="29"/>
      <c r="AI389" s="29"/>
    </row>
    <row r="390" spans="2:35" s="27" customFormat="1">
      <c r="B390" s="85"/>
      <c r="C390" s="28"/>
      <c r="D390" s="29"/>
      <c r="E390" s="29"/>
      <c r="F390" s="30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  <c r="AH390" s="29"/>
      <c r="AI390" s="29"/>
    </row>
    <row r="391" spans="2:35" s="27" customFormat="1">
      <c r="B391" s="85"/>
      <c r="C391" s="28"/>
      <c r="D391" s="29"/>
      <c r="E391" s="29"/>
      <c r="F391" s="30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29"/>
      <c r="AH391" s="29"/>
      <c r="AI391" s="29"/>
    </row>
    <row r="392" spans="2:35" s="27" customFormat="1">
      <c r="B392" s="85"/>
      <c r="C392" s="28"/>
      <c r="D392" s="29"/>
      <c r="E392" s="29"/>
      <c r="F392" s="30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29"/>
      <c r="AB392" s="29"/>
      <c r="AC392" s="29"/>
      <c r="AD392" s="29"/>
      <c r="AE392" s="29"/>
      <c r="AF392" s="29"/>
      <c r="AG392" s="29"/>
      <c r="AH392" s="29"/>
      <c r="AI392" s="29"/>
    </row>
    <row r="393" spans="2:35" s="27" customFormat="1">
      <c r="B393" s="85"/>
      <c r="C393" s="28"/>
      <c r="D393" s="29"/>
      <c r="E393" s="29"/>
      <c r="F393" s="30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I393" s="29"/>
    </row>
    <row r="394" spans="2:35" s="27" customFormat="1">
      <c r="B394" s="85"/>
      <c r="C394" s="28"/>
      <c r="D394" s="29"/>
      <c r="E394" s="29"/>
      <c r="F394" s="30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I394" s="29"/>
    </row>
    <row r="395" spans="2:35" s="27" customFormat="1">
      <c r="B395" s="85"/>
      <c r="C395" s="28"/>
      <c r="D395" s="29"/>
      <c r="E395" s="29"/>
      <c r="F395" s="30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  <c r="AH395" s="29"/>
      <c r="AI395" s="29"/>
    </row>
    <row r="396" spans="2:35" s="27" customFormat="1">
      <c r="B396" s="85"/>
      <c r="C396" s="28"/>
      <c r="D396" s="29"/>
      <c r="E396" s="29"/>
      <c r="F396" s="30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29"/>
      <c r="AH396" s="29"/>
      <c r="AI396" s="29"/>
    </row>
    <row r="397" spans="2:35" s="27" customFormat="1">
      <c r="B397" s="85"/>
      <c r="C397" s="28"/>
      <c r="D397" s="29"/>
      <c r="E397" s="29"/>
      <c r="F397" s="30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29"/>
      <c r="AH397" s="29"/>
      <c r="AI397" s="29"/>
    </row>
    <row r="398" spans="2:35" s="27" customFormat="1">
      <c r="B398" s="85"/>
      <c r="C398" s="28"/>
      <c r="D398" s="29"/>
      <c r="E398" s="29"/>
      <c r="F398" s="30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29"/>
      <c r="AB398" s="29"/>
      <c r="AC398" s="29"/>
      <c r="AD398" s="29"/>
      <c r="AE398" s="29"/>
      <c r="AF398" s="29"/>
      <c r="AG398" s="29"/>
      <c r="AH398" s="29"/>
      <c r="AI398" s="29"/>
    </row>
    <row r="399" spans="2:35" s="27" customFormat="1">
      <c r="B399" s="85"/>
      <c r="C399" s="28"/>
      <c r="D399" s="29"/>
      <c r="E399" s="29"/>
      <c r="F399" s="30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29"/>
      <c r="AH399" s="29"/>
      <c r="AI399" s="29"/>
    </row>
    <row r="400" spans="2:35" s="27" customFormat="1">
      <c r="B400" s="85"/>
      <c r="C400" s="28"/>
      <c r="D400" s="29"/>
      <c r="E400" s="29"/>
      <c r="F400" s="30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29"/>
      <c r="AH400" s="29"/>
      <c r="AI400" s="29"/>
    </row>
    <row r="401" spans="2:35" s="27" customFormat="1">
      <c r="B401" s="85"/>
      <c r="C401" s="28"/>
      <c r="D401" s="29"/>
      <c r="E401" s="29"/>
      <c r="F401" s="30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  <c r="AH401" s="29"/>
      <c r="AI401" s="29"/>
    </row>
    <row r="402" spans="2:35" s="27" customFormat="1">
      <c r="B402" s="85"/>
      <c r="C402" s="28"/>
      <c r="D402" s="29"/>
      <c r="E402" s="29"/>
      <c r="F402" s="30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29"/>
      <c r="AH402" s="29"/>
      <c r="AI402" s="29"/>
    </row>
    <row r="403" spans="2:35" s="27" customFormat="1">
      <c r="B403" s="85"/>
      <c r="C403" s="28"/>
      <c r="D403" s="29"/>
      <c r="E403" s="29"/>
      <c r="F403" s="30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</row>
    <row r="404" spans="2:35" s="27" customFormat="1">
      <c r="B404" s="85"/>
      <c r="C404" s="28"/>
      <c r="D404" s="29"/>
      <c r="E404" s="29"/>
      <c r="F404" s="30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</row>
    <row r="405" spans="2:35" s="27" customFormat="1">
      <c r="B405" s="85"/>
      <c r="C405" s="28"/>
      <c r="D405" s="29"/>
      <c r="E405" s="29"/>
      <c r="F405" s="30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I405" s="29"/>
    </row>
    <row r="406" spans="2:35" s="27" customFormat="1">
      <c r="B406" s="85"/>
      <c r="C406" s="28"/>
      <c r="D406" s="29"/>
      <c r="E406" s="29"/>
      <c r="F406" s="30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29"/>
      <c r="AH406" s="29"/>
      <c r="AI406" s="29"/>
    </row>
    <row r="407" spans="2:35" s="27" customFormat="1">
      <c r="B407" s="85"/>
      <c r="C407" s="28"/>
      <c r="D407" s="29"/>
      <c r="E407" s="29"/>
      <c r="F407" s="30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</row>
    <row r="408" spans="2:35" s="27" customFormat="1">
      <c r="B408" s="85"/>
      <c r="C408" s="28"/>
      <c r="D408" s="29"/>
      <c r="E408" s="29"/>
      <c r="F408" s="30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</row>
    <row r="409" spans="2:35" s="27" customFormat="1">
      <c r="B409" s="85"/>
      <c r="C409" s="28"/>
      <c r="D409" s="29"/>
      <c r="E409" s="29"/>
      <c r="F409" s="30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I409" s="29"/>
    </row>
    <row r="410" spans="2:35" s="27" customFormat="1">
      <c r="B410" s="85"/>
      <c r="C410" s="28"/>
      <c r="D410" s="29"/>
      <c r="E410" s="29"/>
      <c r="F410" s="30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</row>
    <row r="411" spans="2:35" s="27" customFormat="1">
      <c r="B411" s="85"/>
      <c r="C411" s="28"/>
      <c r="D411" s="29"/>
      <c r="E411" s="29"/>
      <c r="F411" s="30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</row>
    <row r="412" spans="2:35" s="27" customFormat="1">
      <c r="B412" s="85"/>
      <c r="C412" s="28"/>
      <c r="D412" s="29"/>
      <c r="E412" s="29"/>
      <c r="F412" s="30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</row>
    <row r="413" spans="2:35" s="27" customFormat="1">
      <c r="B413" s="85"/>
      <c r="C413" s="28"/>
      <c r="D413" s="29"/>
      <c r="E413" s="29"/>
      <c r="F413" s="30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I413" s="29"/>
    </row>
    <row r="414" spans="2:35" s="27" customFormat="1">
      <c r="B414" s="85"/>
      <c r="C414" s="28"/>
      <c r="D414" s="29"/>
      <c r="E414" s="29"/>
      <c r="F414" s="30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</row>
    <row r="415" spans="2:35" s="27" customFormat="1">
      <c r="B415" s="85"/>
      <c r="C415" s="28"/>
      <c r="D415" s="29"/>
      <c r="E415" s="29"/>
      <c r="F415" s="30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</row>
    <row r="416" spans="2:35" s="27" customFormat="1">
      <c r="B416" s="85"/>
      <c r="C416" s="28"/>
      <c r="D416" s="29"/>
      <c r="E416" s="29"/>
      <c r="F416" s="30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  <c r="AH416" s="29"/>
      <c r="AI416" s="29"/>
    </row>
    <row r="417" spans="2:35" s="27" customFormat="1">
      <c r="B417" s="85"/>
      <c r="C417" s="28"/>
      <c r="D417" s="29"/>
      <c r="E417" s="29"/>
      <c r="F417" s="30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  <c r="AH417" s="29"/>
      <c r="AI417" s="29"/>
    </row>
    <row r="418" spans="2:35" s="27" customFormat="1">
      <c r="B418" s="85"/>
      <c r="C418" s="28"/>
      <c r="D418" s="29"/>
      <c r="E418" s="29"/>
      <c r="F418" s="30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</row>
    <row r="419" spans="2:35" s="27" customFormat="1">
      <c r="B419" s="85"/>
      <c r="C419" s="28"/>
      <c r="D419" s="29"/>
      <c r="E419" s="29"/>
      <c r="F419" s="30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  <c r="AH419" s="29"/>
      <c r="AI419" s="29"/>
    </row>
    <row r="420" spans="2:35" s="27" customFormat="1">
      <c r="B420" s="85"/>
      <c r="C420" s="28"/>
      <c r="D420" s="29"/>
      <c r="E420" s="29"/>
      <c r="F420" s="30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  <c r="AH420" s="29"/>
      <c r="AI420" s="29"/>
    </row>
    <row r="421" spans="2:35" s="27" customFormat="1">
      <c r="B421" s="85"/>
      <c r="C421" s="28"/>
      <c r="D421" s="29"/>
      <c r="E421" s="29"/>
      <c r="F421" s="30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</row>
    <row r="422" spans="2:35" s="27" customFormat="1">
      <c r="B422" s="85"/>
      <c r="C422" s="28"/>
      <c r="D422" s="29"/>
      <c r="E422" s="29"/>
      <c r="F422" s="30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  <c r="AH422" s="29"/>
      <c r="AI422" s="29"/>
    </row>
    <row r="423" spans="2:35" s="27" customFormat="1">
      <c r="B423" s="85"/>
      <c r="C423" s="28"/>
      <c r="D423" s="29"/>
      <c r="E423" s="29"/>
      <c r="F423" s="30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</row>
    <row r="424" spans="2:35" s="27" customFormat="1">
      <c r="B424" s="85"/>
      <c r="C424" s="28"/>
      <c r="D424" s="29"/>
      <c r="E424" s="29"/>
      <c r="F424" s="30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</row>
    <row r="425" spans="2:35" s="27" customFormat="1">
      <c r="B425" s="85"/>
      <c r="C425" s="28"/>
      <c r="D425" s="29"/>
      <c r="E425" s="29"/>
      <c r="F425" s="30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</row>
    <row r="426" spans="2:35" s="27" customFormat="1">
      <c r="B426" s="85"/>
      <c r="C426" s="28"/>
      <c r="D426" s="29"/>
      <c r="E426" s="29"/>
      <c r="F426" s="30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  <c r="AH426" s="29"/>
      <c r="AI426" s="29"/>
    </row>
    <row r="427" spans="2:35" s="27" customFormat="1">
      <c r="B427" s="85"/>
      <c r="C427" s="28"/>
      <c r="D427" s="29"/>
      <c r="E427" s="29"/>
      <c r="F427" s="30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  <c r="AH427" s="29"/>
      <c r="AI427" s="29"/>
    </row>
    <row r="428" spans="2:35" s="27" customFormat="1">
      <c r="B428" s="85"/>
      <c r="C428" s="28"/>
      <c r="D428" s="29"/>
      <c r="E428" s="29"/>
      <c r="F428" s="30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  <c r="AH428" s="29"/>
      <c r="AI428" s="29"/>
    </row>
    <row r="429" spans="2:35" s="27" customFormat="1">
      <c r="B429" s="85"/>
      <c r="C429" s="28"/>
      <c r="D429" s="29"/>
      <c r="E429" s="29"/>
      <c r="F429" s="30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  <c r="AH429" s="29"/>
      <c r="AI429" s="29"/>
    </row>
    <row r="430" spans="2:35" s="27" customFormat="1">
      <c r="B430" s="85"/>
      <c r="C430" s="28"/>
      <c r="D430" s="29"/>
      <c r="E430" s="29"/>
      <c r="F430" s="30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  <c r="AH430" s="29"/>
      <c r="AI430" s="29"/>
    </row>
    <row r="431" spans="2:35" s="27" customFormat="1">
      <c r="B431" s="85"/>
      <c r="C431" s="28"/>
      <c r="D431" s="29"/>
      <c r="E431" s="29"/>
      <c r="F431" s="30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  <c r="AH431" s="29"/>
      <c r="AI431" s="29"/>
    </row>
    <row r="432" spans="2:35" s="27" customFormat="1">
      <c r="B432" s="85"/>
      <c r="C432" s="28"/>
      <c r="D432" s="29"/>
      <c r="E432" s="29"/>
      <c r="F432" s="30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29"/>
      <c r="AH432" s="29"/>
      <c r="AI432" s="29"/>
    </row>
    <row r="433" spans="2:35" s="27" customFormat="1">
      <c r="B433" s="85"/>
      <c r="C433" s="28"/>
      <c r="D433" s="29"/>
      <c r="E433" s="29"/>
      <c r="F433" s="30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  <c r="AH433" s="29"/>
      <c r="AI433" s="29"/>
    </row>
    <row r="434" spans="2:35" s="27" customFormat="1">
      <c r="B434" s="85"/>
      <c r="C434" s="28"/>
      <c r="D434" s="29"/>
      <c r="E434" s="29"/>
      <c r="F434" s="30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  <c r="AH434" s="29"/>
      <c r="AI434" s="29"/>
    </row>
    <row r="435" spans="2:35" s="27" customFormat="1">
      <c r="B435" s="85"/>
      <c r="C435" s="28"/>
      <c r="D435" s="29"/>
      <c r="E435" s="29"/>
      <c r="F435" s="30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  <c r="AH435" s="29"/>
      <c r="AI435" s="29"/>
    </row>
    <row r="436" spans="2:35" s="27" customFormat="1">
      <c r="B436" s="85"/>
      <c r="C436" s="28"/>
      <c r="D436" s="29"/>
      <c r="E436" s="29"/>
      <c r="F436" s="30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  <c r="AH436" s="29"/>
      <c r="AI436" s="29"/>
    </row>
    <row r="437" spans="2:35" s="27" customFormat="1">
      <c r="B437" s="85"/>
      <c r="C437" s="28"/>
      <c r="D437" s="29"/>
      <c r="E437" s="29"/>
      <c r="F437" s="30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  <c r="AH437" s="29"/>
      <c r="AI437" s="29"/>
    </row>
    <row r="438" spans="2:35" s="27" customFormat="1">
      <c r="B438" s="85"/>
      <c r="C438" s="28"/>
      <c r="D438" s="29"/>
      <c r="E438" s="29"/>
      <c r="F438" s="30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29"/>
      <c r="AH438" s="29"/>
      <c r="AI438" s="29"/>
    </row>
    <row r="439" spans="2:35" s="27" customFormat="1">
      <c r="B439" s="85"/>
      <c r="C439" s="28"/>
      <c r="D439" s="29"/>
      <c r="E439" s="29"/>
      <c r="F439" s="30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  <c r="AH439" s="29"/>
      <c r="AI439" s="29"/>
    </row>
    <row r="440" spans="2:35" s="27" customFormat="1">
      <c r="B440" s="85"/>
      <c r="C440" s="28"/>
      <c r="D440" s="29"/>
      <c r="E440" s="29"/>
      <c r="F440" s="30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  <c r="AD440" s="29"/>
      <c r="AE440" s="29"/>
      <c r="AF440" s="29"/>
      <c r="AG440" s="29"/>
      <c r="AH440" s="29"/>
      <c r="AI440" s="29"/>
    </row>
    <row r="441" spans="2:35" s="27" customFormat="1">
      <c r="B441" s="85"/>
      <c r="C441" s="28"/>
      <c r="D441" s="29"/>
      <c r="E441" s="29"/>
      <c r="F441" s="30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  <c r="AH441" s="29"/>
      <c r="AI441" s="29"/>
    </row>
    <row r="442" spans="2:35" s="27" customFormat="1">
      <c r="B442" s="85"/>
      <c r="C442" s="28"/>
      <c r="D442" s="29"/>
      <c r="E442" s="29"/>
      <c r="F442" s="30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29"/>
      <c r="AH442" s="29"/>
      <c r="AI442" s="29"/>
    </row>
    <row r="443" spans="2:35" s="27" customFormat="1">
      <c r="B443" s="85"/>
      <c r="C443" s="28"/>
      <c r="D443" s="29"/>
      <c r="E443" s="29"/>
      <c r="F443" s="30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  <c r="AH443" s="29"/>
      <c r="AI443" s="29"/>
    </row>
    <row r="444" spans="2:35" s="27" customFormat="1">
      <c r="B444" s="85"/>
      <c r="C444" s="28"/>
      <c r="D444" s="29"/>
      <c r="E444" s="29"/>
      <c r="F444" s="30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29"/>
      <c r="AH444" s="29"/>
      <c r="AI444" s="29"/>
    </row>
    <row r="445" spans="2:35" s="27" customFormat="1">
      <c r="B445" s="85"/>
      <c r="C445" s="28"/>
      <c r="D445" s="29"/>
      <c r="E445" s="29"/>
      <c r="F445" s="30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29"/>
      <c r="AH445" s="29"/>
      <c r="AI445" s="29"/>
    </row>
    <row r="446" spans="2:35" s="27" customFormat="1">
      <c r="B446" s="85"/>
      <c r="C446" s="28"/>
      <c r="D446" s="29"/>
      <c r="E446" s="29"/>
      <c r="F446" s="30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  <c r="AD446" s="29"/>
      <c r="AE446" s="29"/>
      <c r="AF446" s="29"/>
      <c r="AG446" s="29"/>
      <c r="AH446" s="29"/>
      <c r="AI446" s="29"/>
    </row>
    <row r="447" spans="2:35" s="27" customFormat="1">
      <c r="B447" s="85"/>
      <c r="C447" s="28"/>
      <c r="D447" s="29"/>
      <c r="E447" s="29"/>
      <c r="F447" s="30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  <c r="AH447" s="29"/>
      <c r="AI447" s="29"/>
    </row>
    <row r="448" spans="2:35" s="27" customFormat="1">
      <c r="B448" s="85"/>
      <c r="C448" s="28"/>
      <c r="D448" s="29"/>
      <c r="E448" s="29"/>
      <c r="F448" s="30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29"/>
      <c r="AH448" s="29"/>
      <c r="AI448" s="29"/>
    </row>
    <row r="449" spans="2:35" s="27" customFormat="1">
      <c r="B449" s="85"/>
      <c r="C449" s="28"/>
      <c r="D449" s="29"/>
      <c r="E449" s="29"/>
      <c r="F449" s="30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  <c r="AH449" s="29"/>
      <c r="AI449" s="29"/>
    </row>
    <row r="450" spans="2:35" s="27" customFormat="1">
      <c r="B450" s="85"/>
      <c r="C450" s="28"/>
      <c r="D450" s="29"/>
      <c r="E450" s="29"/>
      <c r="F450" s="30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29"/>
      <c r="AH450" s="29"/>
      <c r="AI450" s="29"/>
    </row>
    <row r="451" spans="2:35" s="27" customFormat="1">
      <c r="B451" s="85"/>
      <c r="C451" s="28"/>
      <c r="D451" s="29"/>
      <c r="E451" s="29"/>
      <c r="F451" s="30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  <c r="AH451" s="29"/>
      <c r="AI451" s="29"/>
    </row>
    <row r="452" spans="2:35" s="27" customFormat="1">
      <c r="B452" s="85"/>
      <c r="C452" s="28"/>
      <c r="D452" s="29"/>
      <c r="E452" s="29"/>
      <c r="F452" s="30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  <c r="AD452" s="29"/>
      <c r="AE452" s="29"/>
      <c r="AF452" s="29"/>
      <c r="AG452" s="29"/>
      <c r="AH452" s="29"/>
      <c r="AI452" s="29"/>
    </row>
    <row r="453" spans="2:35" s="27" customFormat="1">
      <c r="B453" s="85"/>
      <c r="C453" s="28"/>
      <c r="D453" s="29"/>
      <c r="E453" s="29"/>
      <c r="F453" s="30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  <c r="AH453" s="29"/>
      <c r="AI453" s="29"/>
    </row>
    <row r="454" spans="2:35" s="27" customFormat="1">
      <c r="B454" s="85"/>
      <c r="C454" s="28"/>
      <c r="D454" s="29"/>
      <c r="E454" s="29"/>
      <c r="F454" s="30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29"/>
      <c r="AH454" s="29"/>
      <c r="AI454" s="29"/>
    </row>
    <row r="455" spans="2:35" s="27" customFormat="1">
      <c r="B455" s="85"/>
      <c r="C455" s="28"/>
      <c r="D455" s="29"/>
      <c r="E455" s="29"/>
      <c r="F455" s="30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  <c r="AH455" s="29"/>
      <c r="AI455" s="29"/>
    </row>
    <row r="456" spans="2:35" s="27" customFormat="1">
      <c r="B456" s="85"/>
      <c r="C456" s="28"/>
      <c r="D456" s="29"/>
      <c r="E456" s="29"/>
      <c r="F456" s="30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29"/>
      <c r="AH456" s="29"/>
      <c r="AI456" s="29"/>
    </row>
    <row r="457" spans="2:35" s="27" customFormat="1">
      <c r="B457" s="85"/>
      <c r="C457" s="28"/>
      <c r="D457" s="29"/>
      <c r="E457" s="29"/>
      <c r="F457" s="30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29"/>
      <c r="AH457" s="29"/>
      <c r="AI457" s="29"/>
    </row>
    <row r="458" spans="2:35" s="27" customFormat="1">
      <c r="B458" s="85"/>
      <c r="C458" s="28"/>
      <c r="D458" s="29"/>
      <c r="E458" s="29"/>
      <c r="F458" s="30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29"/>
      <c r="AB458" s="29"/>
      <c r="AC458" s="29"/>
      <c r="AD458" s="29"/>
      <c r="AE458" s="29"/>
      <c r="AF458" s="29"/>
      <c r="AG458" s="29"/>
      <c r="AH458" s="29"/>
      <c r="AI458" s="29"/>
    </row>
    <row r="459" spans="2:35" s="27" customFormat="1">
      <c r="B459" s="85"/>
      <c r="C459" s="28"/>
      <c r="D459" s="29"/>
      <c r="E459" s="29"/>
      <c r="F459" s="30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</row>
    <row r="460" spans="2:35" s="27" customFormat="1">
      <c r="B460" s="85"/>
      <c r="C460" s="28"/>
      <c r="D460" s="29"/>
      <c r="E460" s="29"/>
      <c r="F460" s="30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I460" s="29"/>
    </row>
    <row r="461" spans="2:35" s="27" customFormat="1">
      <c r="B461" s="85"/>
      <c r="C461" s="28"/>
      <c r="D461" s="29"/>
      <c r="E461" s="29"/>
      <c r="F461" s="30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</row>
    <row r="462" spans="2:35" s="27" customFormat="1">
      <c r="B462" s="85"/>
      <c r="C462" s="28"/>
      <c r="D462" s="29"/>
      <c r="E462" s="29"/>
      <c r="F462" s="30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I462" s="29"/>
    </row>
    <row r="463" spans="2:35" s="27" customFormat="1">
      <c r="B463" s="85"/>
      <c r="C463" s="28"/>
      <c r="D463" s="29"/>
      <c r="E463" s="29"/>
      <c r="F463" s="30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</row>
    <row r="464" spans="2:35" s="27" customFormat="1">
      <c r="B464" s="85"/>
      <c r="C464" s="28"/>
      <c r="D464" s="29"/>
      <c r="E464" s="29"/>
      <c r="F464" s="30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I464" s="29"/>
    </row>
    <row r="465" spans="2:35" s="27" customFormat="1">
      <c r="B465" s="85"/>
      <c r="C465" s="28"/>
      <c r="D465" s="29"/>
      <c r="E465" s="29"/>
      <c r="F465" s="30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</row>
    <row r="466" spans="2:35" s="27" customFormat="1">
      <c r="B466" s="85"/>
      <c r="C466" s="28"/>
      <c r="D466" s="29"/>
      <c r="E466" s="29"/>
      <c r="F466" s="30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I466" s="29"/>
    </row>
    <row r="467" spans="2:35" s="27" customFormat="1">
      <c r="B467" s="85"/>
      <c r="C467" s="28"/>
      <c r="D467" s="29"/>
      <c r="E467" s="29"/>
      <c r="F467" s="30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</row>
    <row r="468" spans="2:35" s="27" customFormat="1">
      <c r="B468" s="85"/>
      <c r="C468" s="28"/>
      <c r="D468" s="29"/>
      <c r="E468" s="29"/>
      <c r="F468" s="30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  <c r="AH468" s="29"/>
      <c r="AI468" s="29"/>
    </row>
    <row r="469" spans="2:35" s="27" customFormat="1">
      <c r="B469" s="85"/>
      <c r="C469" s="28"/>
      <c r="D469" s="29"/>
      <c r="E469" s="29"/>
      <c r="F469" s="30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I469" s="29"/>
    </row>
    <row r="470" spans="2:35" s="27" customFormat="1">
      <c r="B470" s="85"/>
      <c r="C470" s="28"/>
      <c r="D470" s="29"/>
      <c r="E470" s="29"/>
      <c r="F470" s="30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I470" s="29"/>
    </row>
    <row r="471" spans="2:35" s="27" customFormat="1">
      <c r="B471" s="85"/>
      <c r="C471" s="28"/>
      <c r="D471" s="29"/>
      <c r="E471" s="29"/>
      <c r="F471" s="30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I471" s="29"/>
    </row>
    <row r="472" spans="2:35" s="27" customFormat="1">
      <c r="B472" s="85"/>
      <c r="C472" s="28"/>
      <c r="D472" s="29"/>
      <c r="E472" s="29"/>
      <c r="F472" s="30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I472" s="29"/>
    </row>
    <row r="473" spans="2:35" s="27" customFormat="1">
      <c r="B473" s="85"/>
      <c r="C473" s="28"/>
      <c r="D473" s="29"/>
      <c r="E473" s="29"/>
      <c r="F473" s="30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</row>
    <row r="474" spans="2:35" s="27" customFormat="1">
      <c r="B474" s="85"/>
      <c r="C474" s="28"/>
      <c r="D474" s="29"/>
      <c r="E474" s="29"/>
      <c r="F474" s="30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I474" s="29"/>
    </row>
    <row r="475" spans="2:35" s="27" customFormat="1">
      <c r="B475" s="85"/>
      <c r="C475" s="28"/>
      <c r="D475" s="29"/>
      <c r="E475" s="29"/>
      <c r="F475" s="30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</row>
    <row r="476" spans="2:35" s="27" customFormat="1">
      <c r="B476" s="85"/>
      <c r="C476" s="28"/>
      <c r="D476" s="29"/>
      <c r="E476" s="29"/>
      <c r="F476" s="30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I476" s="29"/>
    </row>
    <row r="477" spans="2:35" s="27" customFormat="1">
      <c r="B477" s="85"/>
      <c r="C477" s="28"/>
      <c r="D477" s="29"/>
      <c r="E477" s="29"/>
      <c r="F477" s="30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</row>
    <row r="478" spans="2:35" s="27" customFormat="1">
      <c r="B478" s="85"/>
      <c r="C478" s="28"/>
      <c r="D478" s="29"/>
      <c r="E478" s="29"/>
      <c r="F478" s="30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I478" s="29"/>
    </row>
    <row r="479" spans="2:35" s="27" customFormat="1">
      <c r="B479" s="85"/>
      <c r="C479" s="28"/>
      <c r="D479" s="29"/>
      <c r="E479" s="29"/>
      <c r="F479" s="30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</row>
    <row r="480" spans="2:35" s="27" customFormat="1">
      <c r="B480" s="85"/>
      <c r="C480" s="28"/>
      <c r="D480" s="29"/>
      <c r="E480" s="29"/>
      <c r="F480" s="30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I480" s="29"/>
    </row>
    <row r="481" spans="2:35" s="27" customFormat="1">
      <c r="B481" s="85"/>
      <c r="C481" s="28"/>
      <c r="D481" s="29"/>
      <c r="E481" s="29"/>
      <c r="F481" s="30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I481" s="29"/>
    </row>
    <row r="482" spans="2:35" s="27" customFormat="1">
      <c r="B482" s="85"/>
      <c r="C482" s="28"/>
      <c r="D482" s="29"/>
      <c r="E482" s="29"/>
      <c r="F482" s="30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  <c r="AH482" s="29"/>
      <c r="AI482" s="29"/>
    </row>
    <row r="483" spans="2:35" s="27" customFormat="1">
      <c r="B483" s="85"/>
      <c r="C483" s="28"/>
      <c r="D483" s="29"/>
      <c r="E483" s="29"/>
      <c r="F483" s="30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I483" s="29"/>
    </row>
    <row r="484" spans="2:35" s="27" customFormat="1">
      <c r="B484" s="85"/>
      <c r="C484" s="28"/>
      <c r="D484" s="29"/>
      <c r="E484" s="29"/>
      <c r="F484" s="30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  <c r="AH484" s="29"/>
      <c r="AI484" s="29"/>
    </row>
    <row r="485" spans="2:35" s="27" customFormat="1">
      <c r="B485" s="85"/>
      <c r="C485" s="28"/>
      <c r="D485" s="29"/>
      <c r="E485" s="29"/>
      <c r="F485" s="30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I485" s="29"/>
    </row>
    <row r="486" spans="2:35" s="27" customFormat="1">
      <c r="B486" s="85"/>
      <c r="C486" s="28"/>
      <c r="D486" s="29"/>
      <c r="E486" s="29"/>
      <c r="F486" s="30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  <c r="AH486" s="29"/>
      <c r="AI486" s="29"/>
    </row>
    <row r="487" spans="2:35" s="27" customFormat="1">
      <c r="B487" s="85"/>
      <c r="C487" s="28"/>
      <c r="D487" s="29"/>
      <c r="E487" s="29"/>
      <c r="F487" s="30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I487" s="29"/>
    </row>
    <row r="488" spans="2:35" s="27" customFormat="1">
      <c r="B488" s="85"/>
      <c r="C488" s="28"/>
      <c r="D488" s="29"/>
      <c r="E488" s="29"/>
      <c r="F488" s="30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  <c r="AH488" s="29"/>
      <c r="AI488" s="29"/>
    </row>
    <row r="489" spans="2:35" s="27" customFormat="1">
      <c r="B489" s="85"/>
      <c r="C489" s="28"/>
      <c r="D489" s="29"/>
      <c r="E489" s="29"/>
      <c r="F489" s="30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I489" s="29"/>
    </row>
    <row r="490" spans="2:35" s="27" customFormat="1">
      <c r="B490" s="85"/>
      <c r="C490" s="28"/>
      <c r="D490" s="29"/>
      <c r="E490" s="29"/>
      <c r="F490" s="30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  <c r="AH490" s="29"/>
      <c r="AI490" s="29"/>
    </row>
    <row r="491" spans="2:35" s="27" customFormat="1">
      <c r="B491" s="85"/>
      <c r="C491" s="28"/>
      <c r="D491" s="29"/>
      <c r="E491" s="29"/>
      <c r="F491" s="30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I491" s="29"/>
    </row>
    <row r="492" spans="2:35" s="27" customFormat="1">
      <c r="B492" s="85"/>
      <c r="C492" s="28"/>
      <c r="D492" s="29"/>
      <c r="E492" s="29"/>
      <c r="F492" s="30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  <c r="AH492" s="29"/>
      <c r="AI492" s="29"/>
    </row>
    <row r="493" spans="2:35" s="27" customFormat="1">
      <c r="B493" s="85"/>
      <c r="C493" s="28"/>
      <c r="D493" s="29"/>
      <c r="E493" s="29"/>
      <c r="F493" s="30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I493" s="29"/>
    </row>
    <row r="494" spans="2:35" s="27" customFormat="1">
      <c r="B494" s="85"/>
      <c r="C494" s="28"/>
      <c r="D494" s="29"/>
      <c r="E494" s="29"/>
      <c r="F494" s="30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I494" s="29"/>
    </row>
    <row r="495" spans="2:35" s="27" customFormat="1">
      <c r="B495" s="85"/>
      <c r="C495" s="28"/>
      <c r="D495" s="29"/>
      <c r="E495" s="29"/>
      <c r="F495" s="30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  <c r="AH495" s="29"/>
      <c r="AI495" s="29"/>
    </row>
    <row r="496" spans="2:35" s="27" customFormat="1">
      <c r="B496" s="85"/>
      <c r="C496" s="28"/>
      <c r="D496" s="29"/>
      <c r="E496" s="29"/>
      <c r="F496" s="30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  <c r="AH496" s="29"/>
      <c r="AI496" s="29"/>
    </row>
    <row r="497" spans="2:35" s="27" customFormat="1">
      <c r="B497" s="85"/>
      <c r="C497" s="28"/>
      <c r="D497" s="29"/>
      <c r="E497" s="29"/>
      <c r="F497" s="30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  <c r="AH497" s="29"/>
      <c r="AI497" s="29"/>
    </row>
    <row r="498" spans="2:35" s="27" customFormat="1">
      <c r="B498" s="85"/>
      <c r="C498" s="28"/>
      <c r="D498" s="29"/>
      <c r="E498" s="29"/>
      <c r="F498" s="30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  <c r="AH498" s="29"/>
      <c r="AI498" s="29"/>
    </row>
    <row r="499" spans="2:35" s="27" customFormat="1">
      <c r="B499" s="85"/>
      <c r="C499" s="28"/>
      <c r="D499" s="29"/>
      <c r="E499" s="29"/>
      <c r="F499" s="30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I499" s="29"/>
    </row>
    <row r="500" spans="2:35" s="27" customFormat="1">
      <c r="B500" s="85"/>
      <c r="C500" s="28"/>
      <c r="D500" s="29"/>
      <c r="E500" s="29"/>
      <c r="F500" s="30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  <c r="AH500" s="29"/>
      <c r="AI500" s="29"/>
    </row>
    <row r="501" spans="2:35" s="27" customFormat="1">
      <c r="B501" s="85"/>
      <c r="C501" s="28"/>
      <c r="D501" s="29"/>
      <c r="E501" s="29"/>
      <c r="F501" s="30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  <c r="AH501" s="29"/>
      <c r="AI501" s="29"/>
    </row>
    <row r="502" spans="2:35" s="27" customFormat="1">
      <c r="B502" s="85"/>
      <c r="C502" s="28"/>
      <c r="D502" s="29"/>
      <c r="E502" s="29"/>
      <c r="F502" s="30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29"/>
      <c r="AH502" s="29"/>
      <c r="AI502" s="29"/>
    </row>
    <row r="503" spans="2:35" s="27" customFormat="1">
      <c r="B503" s="85"/>
      <c r="C503" s="28"/>
      <c r="D503" s="29"/>
      <c r="E503" s="29"/>
      <c r="F503" s="30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  <c r="AH503" s="29"/>
      <c r="AI503" s="29"/>
    </row>
    <row r="504" spans="2:35" s="27" customFormat="1">
      <c r="B504" s="85"/>
      <c r="C504" s="28"/>
      <c r="D504" s="29"/>
      <c r="E504" s="29"/>
      <c r="F504" s="30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29"/>
      <c r="AH504" s="29"/>
      <c r="AI504" s="29"/>
    </row>
    <row r="505" spans="2:35" s="27" customFormat="1">
      <c r="B505" s="85"/>
      <c r="C505" s="28"/>
      <c r="D505" s="29"/>
      <c r="E505" s="29"/>
      <c r="F505" s="30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  <c r="AH505" s="29"/>
      <c r="AI505" s="29"/>
    </row>
    <row r="506" spans="2:35" s="27" customFormat="1">
      <c r="B506" s="85"/>
      <c r="C506" s="28"/>
      <c r="D506" s="29"/>
      <c r="E506" s="29"/>
      <c r="F506" s="30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  <c r="AD506" s="29"/>
      <c r="AE506" s="29"/>
      <c r="AF506" s="29"/>
      <c r="AG506" s="29"/>
      <c r="AH506" s="29"/>
      <c r="AI506" s="29"/>
    </row>
    <row r="507" spans="2:35" s="27" customFormat="1">
      <c r="B507" s="85"/>
      <c r="C507" s="28"/>
      <c r="D507" s="29"/>
      <c r="E507" s="29"/>
      <c r="F507" s="30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29"/>
      <c r="AH507" s="29"/>
      <c r="AI507" s="29"/>
    </row>
    <row r="508" spans="2:35" s="27" customFormat="1">
      <c r="B508" s="85"/>
      <c r="C508" s="28"/>
      <c r="D508" s="29"/>
      <c r="E508" s="29"/>
      <c r="F508" s="30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29"/>
      <c r="AH508" s="29"/>
      <c r="AI508" s="29"/>
    </row>
    <row r="509" spans="2:35" s="27" customFormat="1">
      <c r="B509" s="85"/>
      <c r="C509" s="28"/>
      <c r="D509" s="29"/>
      <c r="E509" s="29"/>
      <c r="F509" s="30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  <c r="AD509" s="29"/>
      <c r="AE509" s="29"/>
      <c r="AF509" s="29"/>
      <c r="AG509" s="29"/>
      <c r="AH509" s="29"/>
      <c r="AI509" s="29"/>
    </row>
    <row r="510" spans="2:35" s="27" customFormat="1">
      <c r="B510" s="85"/>
      <c r="C510" s="28"/>
      <c r="D510" s="29"/>
      <c r="E510" s="29"/>
      <c r="F510" s="30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29"/>
      <c r="AH510" s="29"/>
      <c r="AI510" s="29"/>
    </row>
    <row r="511" spans="2:35" s="27" customFormat="1">
      <c r="B511" s="85"/>
      <c r="C511" s="28"/>
      <c r="D511" s="29"/>
      <c r="E511" s="29"/>
      <c r="F511" s="30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29"/>
      <c r="AH511" s="29"/>
      <c r="AI511" s="29"/>
    </row>
    <row r="512" spans="2:35" s="27" customFormat="1">
      <c r="B512" s="85"/>
      <c r="C512" s="28"/>
      <c r="D512" s="29"/>
      <c r="E512" s="29"/>
      <c r="F512" s="30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29"/>
      <c r="AB512" s="29"/>
      <c r="AC512" s="29"/>
      <c r="AD512" s="29"/>
      <c r="AE512" s="29"/>
      <c r="AF512" s="29"/>
      <c r="AG512" s="29"/>
      <c r="AH512" s="29"/>
      <c r="AI512" s="29"/>
    </row>
    <row r="513" spans="2:35" s="27" customFormat="1">
      <c r="B513" s="85"/>
      <c r="C513" s="28"/>
      <c r="D513" s="29"/>
      <c r="E513" s="29"/>
      <c r="F513" s="30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29"/>
      <c r="AH513" s="29"/>
      <c r="AI513" s="29"/>
    </row>
    <row r="514" spans="2:35" s="27" customFormat="1">
      <c r="B514" s="85"/>
      <c r="C514" s="28"/>
      <c r="D514" s="29"/>
      <c r="E514" s="29"/>
      <c r="F514" s="30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29"/>
      <c r="AH514" s="29"/>
      <c r="AI514" s="29"/>
    </row>
    <row r="515" spans="2:35" s="27" customFormat="1">
      <c r="B515" s="85"/>
      <c r="C515" s="28"/>
      <c r="D515" s="29"/>
      <c r="E515" s="29"/>
      <c r="F515" s="30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  <c r="AD515" s="29"/>
      <c r="AE515" s="29"/>
      <c r="AF515" s="29"/>
      <c r="AG515" s="29"/>
      <c r="AH515" s="29"/>
      <c r="AI515" s="29"/>
    </row>
    <row r="516" spans="2:35" s="27" customFormat="1">
      <c r="B516" s="85"/>
      <c r="C516" s="28"/>
      <c r="D516" s="29"/>
      <c r="E516" s="29"/>
      <c r="F516" s="30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29"/>
      <c r="AH516" s="29"/>
      <c r="AI516" s="29"/>
    </row>
    <row r="517" spans="2:35" s="27" customFormat="1">
      <c r="B517" s="85"/>
      <c r="C517" s="28"/>
      <c r="D517" s="29"/>
      <c r="E517" s="29"/>
      <c r="F517" s="30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29"/>
      <c r="AH517" s="29"/>
      <c r="AI517" s="29"/>
    </row>
    <row r="518" spans="2:35" s="27" customFormat="1">
      <c r="B518" s="85"/>
      <c r="C518" s="28"/>
      <c r="D518" s="29"/>
      <c r="E518" s="29"/>
      <c r="F518" s="30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29"/>
      <c r="AB518" s="29"/>
      <c r="AC518" s="29"/>
      <c r="AD518" s="29"/>
      <c r="AE518" s="29"/>
      <c r="AF518" s="29"/>
      <c r="AG518" s="29"/>
      <c r="AH518" s="29"/>
      <c r="AI518" s="29"/>
    </row>
    <row r="519" spans="2:35" s="27" customFormat="1">
      <c r="B519" s="85"/>
      <c r="C519" s="28"/>
      <c r="D519" s="29"/>
      <c r="E519" s="29"/>
      <c r="F519" s="30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29"/>
      <c r="AH519" s="29"/>
      <c r="AI519" s="29"/>
    </row>
    <row r="520" spans="2:35" s="27" customFormat="1">
      <c r="B520" s="85"/>
      <c r="C520" s="28"/>
      <c r="D520" s="29"/>
      <c r="E520" s="29"/>
      <c r="F520" s="30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29"/>
      <c r="AH520" s="29"/>
      <c r="AI520" s="29"/>
    </row>
    <row r="521" spans="2:35" s="27" customFormat="1">
      <c r="B521" s="85"/>
      <c r="C521" s="28"/>
      <c r="D521" s="29"/>
      <c r="E521" s="29"/>
      <c r="F521" s="30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  <c r="AD521" s="29"/>
      <c r="AE521" s="29"/>
      <c r="AF521" s="29"/>
      <c r="AG521" s="29"/>
      <c r="AH521" s="29"/>
      <c r="AI521" s="29"/>
    </row>
    <row r="522" spans="2:35" s="27" customFormat="1">
      <c r="B522" s="85"/>
      <c r="C522" s="28"/>
      <c r="D522" s="29"/>
      <c r="E522" s="29"/>
      <c r="F522" s="30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29"/>
      <c r="AH522" s="29"/>
      <c r="AI522" s="29"/>
    </row>
    <row r="523" spans="2:35" s="27" customFormat="1">
      <c r="B523" s="85"/>
      <c r="C523" s="28"/>
      <c r="D523" s="29"/>
      <c r="E523" s="29"/>
      <c r="F523" s="30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29"/>
      <c r="AH523" s="29"/>
      <c r="AI523" s="29"/>
    </row>
    <row r="524" spans="2:35" s="27" customFormat="1">
      <c r="B524" s="85"/>
      <c r="C524" s="28"/>
      <c r="D524" s="29"/>
      <c r="E524" s="29"/>
      <c r="F524" s="30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29"/>
      <c r="AB524" s="29"/>
      <c r="AC524" s="29"/>
      <c r="AD524" s="29"/>
      <c r="AE524" s="29"/>
      <c r="AF524" s="29"/>
      <c r="AG524" s="29"/>
      <c r="AH524" s="29"/>
      <c r="AI524" s="29"/>
    </row>
    <row r="525" spans="2:35" s="27" customFormat="1">
      <c r="B525" s="85"/>
      <c r="C525" s="28"/>
      <c r="D525" s="29"/>
      <c r="E525" s="29"/>
      <c r="F525" s="30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29"/>
      <c r="AH525" s="29"/>
      <c r="AI525" s="29"/>
    </row>
    <row r="526" spans="2:35" s="27" customFormat="1">
      <c r="B526" s="85"/>
      <c r="C526" s="28"/>
      <c r="D526" s="29"/>
      <c r="E526" s="29"/>
      <c r="F526" s="30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29"/>
      <c r="AH526" s="29"/>
      <c r="AI526" s="29"/>
    </row>
    <row r="527" spans="2:35" s="27" customFormat="1">
      <c r="B527" s="85"/>
      <c r="C527" s="28"/>
      <c r="D527" s="29"/>
      <c r="E527" s="29"/>
      <c r="F527" s="30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29"/>
      <c r="AB527" s="29"/>
      <c r="AC527" s="29"/>
      <c r="AD527" s="29"/>
      <c r="AE527" s="29"/>
      <c r="AF527" s="29"/>
      <c r="AG527" s="29"/>
      <c r="AH527" s="29"/>
      <c r="AI527" s="29"/>
    </row>
    <row r="528" spans="2:35" s="27" customFormat="1">
      <c r="B528" s="85"/>
      <c r="C528" s="28"/>
      <c r="D528" s="29"/>
      <c r="E528" s="29"/>
      <c r="F528" s="30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29"/>
      <c r="AH528" s="29"/>
      <c r="AI528" s="29"/>
    </row>
    <row r="529" spans="2:35" s="27" customFormat="1">
      <c r="B529" s="85"/>
      <c r="C529" s="28"/>
      <c r="D529" s="29"/>
      <c r="E529" s="29"/>
      <c r="F529" s="30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29"/>
      <c r="AH529" s="29"/>
      <c r="AI529" s="29"/>
    </row>
    <row r="530" spans="2:35" s="27" customFormat="1">
      <c r="B530" s="85"/>
      <c r="C530" s="28"/>
      <c r="D530" s="29"/>
      <c r="E530" s="29"/>
      <c r="F530" s="30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29"/>
      <c r="AB530" s="29"/>
      <c r="AC530" s="29"/>
      <c r="AD530" s="29"/>
      <c r="AE530" s="29"/>
      <c r="AF530" s="29"/>
      <c r="AG530" s="29"/>
      <c r="AH530" s="29"/>
      <c r="AI530" s="29"/>
    </row>
    <row r="531" spans="2:35" s="27" customFormat="1">
      <c r="B531" s="85"/>
      <c r="C531" s="28"/>
      <c r="D531" s="29"/>
      <c r="E531" s="29"/>
      <c r="F531" s="30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29"/>
      <c r="AH531" s="29"/>
      <c r="AI531" s="29"/>
    </row>
    <row r="532" spans="2:35" s="27" customFormat="1">
      <c r="B532" s="85"/>
      <c r="C532" s="28"/>
      <c r="D532" s="29"/>
      <c r="E532" s="29"/>
      <c r="F532" s="30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29"/>
      <c r="AH532" s="29"/>
      <c r="AI532" s="29"/>
    </row>
    <row r="533" spans="2:35" s="27" customFormat="1">
      <c r="B533" s="85"/>
      <c r="C533" s="28"/>
      <c r="D533" s="29"/>
      <c r="E533" s="29"/>
      <c r="F533" s="30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29"/>
      <c r="AB533" s="29"/>
      <c r="AC533" s="29"/>
      <c r="AD533" s="29"/>
      <c r="AE533" s="29"/>
      <c r="AF533" s="29"/>
      <c r="AG533" s="29"/>
      <c r="AH533" s="29"/>
      <c r="AI533" s="29"/>
    </row>
    <row r="534" spans="2:35" s="27" customFormat="1">
      <c r="B534" s="85"/>
      <c r="C534" s="28"/>
      <c r="D534" s="29"/>
      <c r="E534" s="29"/>
      <c r="F534" s="30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  <c r="AD534" s="29"/>
      <c r="AE534" s="29"/>
      <c r="AF534" s="29"/>
      <c r="AG534" s="29"/>
      <c r="AH534" s="29"/>
      <c r="AI534" s="29"/>
    </row>
    <row r="535" spans="2:35" s="27" customFormat="1">
      <c r="B535" s="85"/>
      <c r="C535" s="28"/>
      <c r="D535" s="29"/>
      <c r="E535" s="29"/>
      <c r="F535" s="30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29"/>
      <c r="AH535" s="29"/>
      <c r="AI535" s="29"/>
    </row>
    <row r="536" spans="2:35" s="27" customFormat="1">
      <c r="B536" s="85"/>
      <c r="C536" s="28"/>
      <c r="D536" s="29"/>
      <c r="E536" s="29"/>
      <c r="F536" s="30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29"/>
      <c r="AB536" s="29"/>
      <c r="AC536" s="29"/>
      <c r="AD536" s="29"/>
      <c r="AE536" s="29"/>
      <c r="AF536" s="29"/>
      <c r="AG536" s="29"/>
      <c r="AH536" s="29"/>
      <c r="AI536" s="29"/>
    </row>
    <row r="537" spans="2:35" s="27" customFormat="1">
      <c r="B537" s="85"/>
      <c r="C537" s="28"/>
      <c r="D537" s="29"/>
      <c r="E537" s="29"/>
      <c r="F537" s="30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29"/>
      <c r="AH537" s="29"/>
      <c r="AI537" s="29"/>
    </row>
    <row r="538" spans="2:35" s="27" customFormat="1">
      <c r="B538" s="85"/>
      <c r="C538" s="28"/>
      <c r="D538" s="29"/>
      <c r="E538" s="29"/>
      <c r="F538" s="30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29"/>
      <c r="AH538" s="29"/>
      <c r="AI538" s="29"/>
    </row>
    <row r="539" spans="2:35" s="27" customFormat="1">
      <c r="B539" s="85"/>
      <c r="C539" s="28"/>
      <c r="D539" s="29"/>
      <c r="E539" s="29"/>
      <c r="F539" s="30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29"/>
      <c r="AB539" s="29"/>
      <c r="AC539" s="29"/>
      <c r="AD539" s="29"/>
      <c r="AE539" s="29"/>
      <c r="AF539" s="29"/>
      <c r="AG539" s="29"/>
      <c r="AH539" s="29"/>
      <c r="AI539" s="29"/>
    </row>
    <row r="540" spans="2:35" s="27" customFormat="1">
      <c r="B540" s="85"/>
      <c r="C540" s="28"/>
      <c r="D540" s="29"/>
      <c r="E540" s="29"/>
      <c r="F540" s="30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29"/>
      <c r="AH540" s="29"/>
      <c r="AI540" s="29"/>
    </row>
    <row r="541" spans="2:35" s="27" customFormat="1">
      <c r="B541" s="85"/>
      <c r="C541" s="28"/>
      <c r="D541" s="29"/>
      <c r="E541" s="29"/>
      <c r="F541" s="30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29"/>
      <c r="AH541" s="29"/>
      <c r="AI541" s="29"/>
    </row>
    <row r="542" spans="2:35" s="27" customFormat="1">
      <c r="B542" s="85"/>
      <c r="C542" s="28"/>
      <c r="D542" s="29"/>
      <c r="E542" s="29"/>
      <c r="F542" s="30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29"/>
      <c r="AB542" s="29"/>
      <c r="AC542" s="29"/>
      <c r="AD542" s="29"/>
      <c r="AE542" s="29"/>
      <c r="AF542" s="29"/>
      <c r="AG542" s="29"/>
      <c r="AH542" s="29"/>
      <c r="AI542" s="29"/>
    </row>
    <row r="543" spans="2:35" s="27" customFormat="1">
      <c r="B543" s="85"/>
      <c r="C543" s="28"/>
      <c r="D543" s="29"/>
      <c r="E543" s="29"/>
      <c r="F543" s="30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29"/>
      <c r="AH543" s="29"/>
      <c r="AI543" s="29"/>
    </row>
    <row r="544" spans="2:35" s="27" customFormat="1">
      <c r="B544" s="85"/>
      <c r="C544" s="28"/>
      <c r="D544" s="29"/>
      <c r="E544" s="29"/>
      <c r="F544" s="30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29"/>
      <c r="AH544" s="29"/>
      <c r="AI544" s="29"/>
    </row>
    <row r="545" spans="2:35" s="27" customFormat="1">
      <c r="B545" s="85"/>
      <c r="C545" s="28"/>
      <c r="D545" s="29"/>
      <c r="E545" s="29"/>
      <c r="F545" s="30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29"/>
      <c r="AB545" s="29"/>
      <c r="AC545" s="29"/>
      <c r="AD545" s="29"/>
      <c r="AE545" s="29"/>
      <c r="AF545" s="29"/>
      <c r="AG545" s="29"/>
      <c r="AH545" s="29"/>
      <c r="AI545" s="29"/>
    </row>
    <row r="546" spans="2:35" s="27" customFormat="1">
      <c r="B546" s="85"/>
      <c r="C546" s="28"/>
      <c r="D546" s="29"/>
      <c r="E546" s="29"/>
      <c r="F546" s="30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  <c r="AD546" s="29"/>
      <c r="AE546" s="29"/>
      <c r="AF546" s="29"/>
      <c r="AG546" s="29"/>
      <c r="AH546" s="29"/>
      <c r="AI546" s="29"/>
    </row>
    <row r="547" spans="2:35" s="27" customFormat="1">
      <c r="B547" s="85"/>
      <c r="C547" s="28"/>
      <c r="D547" s="29"/>
      <c r="E547" s="29"/>
      <c r="F547" s="30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29"/>
      <c r="AH547" s="29"/>
      <c r="AI547" s="29"/>
    </row>
    <row r="548" spans="2:35" s="27" customFormat="1">
      <c r="B548" s="85"/>
      <c r="C548" s="28"/>
      <c r="D548" s="29"/>
      <c r="E548" s="29"/>
      <c r="F548" s="30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29"/>
      <c r="AB548" s="29"/>
      <c r="AC548" s="29"/>
      <c r="AD548" s="29"/>
      <c r="AE548" s="29"/>
      <c r="AF548" s="29"/>
      <c r="AG548" s="29"/>
      <c r="AH548" s="29"/>
      <c r="AI548" s="29"/>
    </row>
    <row r="549" spans="2:35" s="27" customFormat="1">
      <c r="B549" s="85"/>
      <c r="C549" s="28"/>
      <c r="D549" s="29"/>
      <c r="E549" s="29"/>
      <c r="F549" s="30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29"/>
      <c r="AH549" s="29"/>
      <c r="AI549" s="29"/>
    </row>
    <row r="550" spans="2:35" s="27" customFormat="1">
      <c r="B550" s="85"/>
      <c r="C550" s="28"/>
      <c r="D550" s="29"/>
      <c r="E550" s="29"/>
      <c r="F550" s="30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29"/>
      <c r="AH550" s="29"/>
      <c r="AI550" s="29"/>
    </row>
    <row r="551" spans="2:35" s="27" customFormat="1">
      <c r="B551" s="85"/>
      <c r="C551" s="28"/>
      <c r="D551" s="29"/>
      <c r="E551" s="29"/>
      <c r="F551" s="30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29"/>
      <c r="AB551" s="29"/>
      <c r="AC551" s="29"/>
      <c r="AD551" s="29"/>
      <c r="AE551" s="29"/>
      <c r="AF551" s="29"/>
      <c r="AG551" s="29"/>
      <c r="AH551" s="29"/>
      <c r="AI551" s="29"/>
    </row>
    <row r="552" spans="2:35" s="27" customFormat="1">
      <c r="B552" s="85"/>
      <c r="C552" s="28"/>
      <c r="D552" s="29"/>
      <c r="E552" s="29"/>
      <c r="F552" s="30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29"/>
      <c r="AH552" s="29"/>
      <c r="AI552" s="29"/>
    </row>
    <row r="553" spans="2:35" s="27" customFormat="1">
      <c r="B553" s="85"/>
      <c r="C553" s="28"/>
      <c r="D553" s="29"/>
      <c r="E553" s="29"/>
      <c r="F553" s="30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29"/>
      <c r="AH553" s="29"/>
      <c r="AI553" s="29"/>
    </row>
    <row r="554" spans="2:35" s="27" customFormat="1">
      <c r="B554" s="85"/>
      <c r="C554" s="28"/>
      <c r="D554" s="29"/>
      <c r="E554" s="29"/>
      <c r="F554" s="30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29"/>
      <c r="AB554" s="29"/>
      <c r="AC554" s="29"/>
      <c r="AD554" s="29"/>
      <c r="AE554" s="29"/>
      <c r="AF554" s="29"/>
      <c r="AG554" s="29"/>
      <c r="AH554" s="29"/>
      <c r="AI554" s="29"/>
    </row>
    <row r="555" spans="2:35" s="27" customFormat="1">
      <c r="B555" s="85"/>
      <c r="C555" s="28"/>
      <c r="D555" s="29"/>
      <c r="E555" s="29"/>
      <c r="F555" s="30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29"/>
      <c r="AH555" s="29"/>
      <c r="AI555" s="29"/>
    </row>
    <row r="556" spans="2:35" s="27" customFormat="1">
      <c r="B556" s="85"/>
      <c r="C556" s="28"/>
      <c r="D556" s="29"/>
      <c r="E556" s="29"/>
      <c r="F556" s="30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29"/>
      <c r="AH556" s="29"/>
      <c r="AI556" s="29"/>
    </row>
    <row r="557" spans="2:35" s="27" customFormat="1">
      <c r="B557" s="85"/>
      <c r="C557" s="28"/>
      <c r="D557" s="29"/>
      <c r="E557" s="29"/>
      <c r="F557" s="30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29"/>
      <c r="AB557" s="29"/>
      <c r="AC557" s="29"/>
      <c r="AD557" s="29"/>
      <c r="AE557" s="29"/>
      <c r="AF557" s="29"/>
      <c r="AG557" s="29"/>
      <c r="AH557" s="29"/>
      <c r="AI557" s="29"/>
    </row>
    <row r="558" spans="2:35" s="27" customFormat="1">
      <c r="B558" s="85"/>
      <c r="C558" s="28"/>
      <c r="D558" s="29"/>
      <c r="E558" s="29"/>
      <c r="F558" s="30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  <c r="AD558" s="29"/>
      <c r="AE558" s="29"/>
      <c r="AF558" s="29"/>
      <c r="AG558" s="29"/>
      <c r="AH558" s="29"/>
      <c r="AI558" s="29"/>
    </row>
    <row r="559" spans="2:35" s="27" customFormat="1">
      <c r="B559" s="85"/>
      <c r="C559" s="28"/>
      <c r="D559" s="29"/>
      <c r="E559" s="29"/>
      <c r="F559" s="30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29"/>
      <c r="AH559" s="29"/>
      <c r="AI559" s="29"/>
    </row>
    <row r="560" spans="2:35" s="27" customFormat="1">
      <c r="B560" s="85"/>
      <c r="C560" s="28"/>
      <c r="D560" s="29"/>
      <c r="E560" s="29"/>
      <c r="F560" s="30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29"/>
      <c r="AB560" s="29"/>
      <c r="AC560" s="29"/>
      <c r="AD560" s="29"/>
      <c r="AE560" s="29"/>
      <c r="AF560" s="29"/>
      <c r="AG560" s="29"/>
      <c r="AH560" s="29"/>
      <c r="AI560" s="29"/>
    </row>
    <row r="561" spans="2:35" s="27" customFormat="1">
      <c r="B561" s="85"/>
      <c r="C561" s="28"/>
      <c r="D561" s="29"/>
      <c r="E561" s="29"/>
      <c r="F561" s="30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29"/>
      <c r="AH561" s="29"/>
      <c r="AI561" s="29"/>
    </row>
    <row r="562" spans="2:35" s="27" customFormat="1">
      <c r="B562" s="85"/>
      <c r="C562" s="28"/>
      <c r="D562" s="29"/>
      <c r="E562" s="29"/>
      <c r="F562" s="30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29"/>
      <c r="AH562" s="29"/>
      <c r="AI562" s="29"/>
    </row>
    <row r="563" spans="2:35" s="27" customFormat="1">
      <c r="B563" s="85"/>
      <c r="C563" s="28"/>
      <c r="D563" s="29"/>
      <c r="E563" s="29"/>
      <c r="F563" s="30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29"/>
      <c r="AB563" s="29"/>
      <c r="AC563" s="29"/>
      <c r="AD563" s="29"/>
      <c r="AE563" s="29"/>
      <c r="AF563" s="29"/>
      <c r="AG563" s="29"/>
      <c r="AH563" s="29"/>
      <c r="AI563" s="29"/>
    </row>
    <row r="564" spans="2:35" s="27" customFormat="1">
      <c r="B564" s="85"/>
      <c r="C564" s="28"/>
      <c r="D564" s="29"/>
      <c r="E564" s="29"/>
      <c r="F564" s="30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29"/>
      <c r="AH564" s="29"/>
      <c r="AI564" s="29"/>
    </row>
    <row r="565" spans="2:35" s="27" customFormat="1">
      <c r="B565" s="85"/>
      <c r="C565" s="28"/>
      <c r="D565" s="29"/>
      <c r="E565" s="29"/>
      <c r="F565" s="30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29"/>
      <c r="AH565" s="29"/>
      <c r="AI565" s="29"/>
    </row>
    <row r="566" spans="2:35" s="27" customFormat="1">
      <c r="B566" s="85"/>
      <c r="C566" s="28"/>
      <c r="D566" s="29"/>
      <c r="E566" s="29"/>
      <c r="F566" s="30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29"/>
      <c r="AB566" s="29"/>
      <c r="AC566" s="29"/>
      <c r="AD566" s="29"/>
      <c r="AE566" s="29"/>
      <c r="AF566" s="29"/>
      <c r="AG566" s="29"/>
      <c r="AH566" s="29"/>
      <c r="AI566" s="29"/>
    </row>
    <row r="567" spans="2:35" s="27" customFormat="1">
      <c r="B567" s="85"/>
      <c r="C567" s="28"/>
      <c r="D567" s="29"/>
      <c r="E567" s="29"/>
      <c r="F567" s="30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29"/>
      <c r="AH567" s="29"/>
      <c r="AI567" s="29"/>
    </row>
    <row r="568" spans="2:35" s="27" customFormat="1">
      <c r="B568" s="85"/>
      <c r="C568" s="28"/>
      <c r="D568" s="29"/>
      <c r="E568" s="29"/>
      <c r="F568" s="30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  <c r="AD568" s="29"/>
      <c r="AE568" s="29"/>
      <c r="AF568" s="29"/>
      <c r="AG568" s="29"/>
      <c r="AH568" s="29"/>
      <c r="AI568" s="29"/>
    </row>
    <row r="569" spans="2:35" s="27" customFormat="1">
      <c r="B569" s="85"/>
      <c r="C569" s="28"/>
      <c r="D569" s="29"/>
      <c r="E569" s="29"/>
      <c r="F569" s="30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29"/>
      <c r="AB569" s="29"/>
      <c r="AC569" s="29"/>
      <c r="AD569" s="29"/>
      <c r="AE569" s="29"/>
      <c r="AF569" s="29"/>
      <c r="AG569" s="29"/>
      <c r="AH569" s="29"/>
      <c r="AI569" s="29"/>
    </row>
    <row r="570" spans="2:35" s="27" customFormat="1">
      <c r="B570" s="85"/>
      <c r="C570" s="28"/>
      <c r="D570" s="29"/>
      <c r="E570" s="29"/>
      <c r="F570" s="30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  <c r="AD570" s="29"/>
      <c r="AE570" s="29"/>
      <c r="AF570" s="29"/>
      <c r="AG570" s="29"/>
      <c r="AH570" s="29"/>
      <c r="AI570" s="29"/>
    </row>
    <row r="571" spans="2:35" s="27" customFormat="1">
      <c r="B571" s="85"/>
      <c r="C571" s="28"/>
      <c r="D571" s="29"/>
      <c r="E571" s="29"/>
      <c r="F571" s="30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29"/>
      <c r="AH571" s="29"/>
      <c r="AI571" s="29"/>
    </row>
    <row r="572" spans="2:35" s="27" customFormat="1">
      <c r="B572" s="85"/>
      <c r="C572" s="28"/>
      <c r="D572" s="29"/>
      <c r="E572" s="29"/>
      <c r="F572" s="30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29"/>
      <c r="AB572" s="29"/>
      <c r="AC572" s="29"/>
      <c r="AD572" s="29"/>
      <c r="AE572" s="29"/>
      <c r="AF572" s="29"/>
      <c r="AG572" s="29"/>
      <c r="AH572" s="29"/>
      <c r="AI572" s="29"/>
    </row>
    <row r="573" spans="2:35" s="27" customFormat="1">
      <c r="B573" s="85"/>
      <c r="C573" s="28"/>
      <c r="D573" s="29"/>
      <c r="E573" s="29"/>
      <c r="F573" s="30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29"/>
      <c r="AH573" s="29"/>
      <c r="AI573" s="29"/>
    </row>
    <row r="574" spans="2:35" s="27" customFormat="1">
      <c r="B574" s="85"/>
      <c r="C574" s="28"/>
      <c r="D574" s="29"/>
      <c r="E574" s="29"/>
      <c r="F574" s="30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29"/>
      <c r="AH574" s="29"/>
      <c r="AI574" s="29"/>
    </row>
    <row r="575" spans="2:35" s="27" customFormat="1">
      <c r="B575" s="85"/>
      <c r="C575" s="28"/>
      <c r="D575" s="29"/>
      <c r="E575" s="29"/>
      <c r="F575" s="30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29"/>
      <c r="AB575" s="29"/>
      <c r="AC575" s="29"/>
      <c r="AD575" s="29"/>
      <c r="AE575" s="29"/>
      <c r="AF575" s="29"/>
      <c r="AG575" s="29"/>
      <c r="AH575" s="29"/>
      <c r="AI575" s="29"/>
    </row>
    <row r="576" spans="2:35" s="27" customFormat="1">
      <c r="B576" s="85"/>
      <c r="C576" s="28"/>
      <c r="D576" s="29"/>
      <c r="E576" s="29"/>
      <c r="F576" s="30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29"/>
      <c r="AH576" s="29"/>
      <c r="AI576" s="29"/>
    </row>
    <row r="577" spans="2:35" s="27" customFormat="1">
      <c r="B577" s="85"/>
      <c r="C577" s="28"/>
      <c r="D577" s="29"/>
      <c r="E577" s="29"/>
      <c r="F577" s="30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29"/>
      <c r="AH577" s="29"/>
      <c r="AI577" s="29"/>
    </row>
    <row r="578" spans="2:35" s="27" customFormat="1">
      <c r="B578" s="85"/>
      <c r="C578" s="28"/>
      <c r="D578" s="29"/>
      <c r="E578" s="29"/>
      <c r="F578" s="30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29"/>
      <c r="AB578" s="29"/>
      <c r="AC578" s="29"/>
      <c r="AD578" s="29"/>
      <c r="AE578" s="29"/>
      <c r="AF578" s="29"/>
      <c r="AG578" s="29"/>
      <c r="AH578" s="29"/>
      <c r="AI578" s="29"/>
    </row>
    <row r="579" spans="2:35" s="27" customFormat="1">
      <c r="B579" s="85"/>
      <c r="C579" s="28"/>
      <c r="D579" s="29"/>
      <c r="E579" s="29"/>
      <c r="F579" s="30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29"/>
      <c r="AH579" s="29"/>
      <c r="AI579" s="29"/>
    </row>
    <row r="580" spans="2:35" s="27" customFormat="1">
      <c r="B580" s="85"/>
      <c r="C580" s="28"/>
      <c r="D580" s="29"/>
      <c r="E580" s="29"/>
      <c r="F580" s="30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  <c r="AD580" s="29"/>
      <c r="AE580" s="29"/>
      <c r="AF580" s="29"/>
      <c r="AG580" s="29"/>
      <c r="AH580" s="29"/>
      <c r="AI580" s="29"/>
    </row>
    <row r="581" spans="2:35" s="27" customFormat="1">
      <c r="B581" s="85"/>
      <c r="C581" s="28"/>
      <c r="D581" s="29"/>
      <c r="E581" s="29"/>
      <c r="F581" s="30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29"/>
      <c r="AB581" s="29"/>
      <c r="AC581" s="29"/>
      <c r="AD581" s="29"/>
      <c r="AE581" s="29"/>
      <c r="AF581" s="29"/>
      <c r="AG581" s="29"/>
      <c r="AH581" s="29"/>
      <c r="AI581" s="29"/>
    </row>
    <row r="582" spans="2:35" s="27" customFormat="1">
      <c r="B582" s="85"/>
      <c r="C582" s="28"/>
      <c r="D582" s="29"/>
      <c r="E582" s="29"/>
      <c r="F582" s="30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29"/>
      <c r="AH582" s="29"/>
      <c r="AI582" s="29"/>
    </row>
    <row r="583" spans="2:35" s="27" customFormat="1">
      <c r="B583" s="85"/>
      <c r="C583" s="28"/>
      <c r="D583" s="29"/>
      <c r="E583" s="29"/>
      <c r="F583" s="30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29"/>
      <c r="AH583" s="29"/>
      <c r="AI583" s="29"/>
    </row>
    <row r="584" spans="2:35" s="27" customFormat="1">
      <c r="B584" s="85"/>
      <c r="C584" s="28"/>
      <c r="D584" s="29"/>
      <c r="E584" s="29"/>
      <c r="F584" s="30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29"/>
      <c r="AB584" s="29"/>
      <c r="AC584" s="29"/>
      <c r="AD584" s="29"/>
      <c r="AE584" s="29"/>
      <c r="AF584" s="29"/>
      <c r="AG584" s="29"/>
      <c r="AH584" s="29"/>
      <c r="AI584" s="29"/>
    </row>
    <row r="585" spans="2:35" s="27" customFormat="1">
      <c r="B585" s="85"/>
      <c r="C585" s="28"/>
      <c r="D585" s="29"/>
      <c r="E585" s="29"/>
      <c r="F585" s="30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29"/>
      <c r="AH585" s="29"/>
      <c r="AI585" s="29"/>
    </row>
    <row r="586" spans="2:35" s="27" customFormat="1">
      <c r="B586" s="85"/>
      <c r="C586" s="28"/>
      <c r="D586" s="29"/>
      <c r="E586" s="29"/>
      <c r="F586" s="30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29"/>
      <c r="AH586" s="29"/>
      <c r="AI586" s="29"/>
    </row>
    <row r="587" spans="2:35" s="27" customFormat="1">
      <c r="B587" s="85"/>
      <c r="C587" s="28"/>
      <c r="D587" s="29"/>
      <c r="E587" s="29"/>
      <c r="F587" s="30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29"/>
      <c r="AB587" s="29"/>
      <c r="AC587" s="29"/>
      <c r="AD587" s="29"/>
      <c r="AE587" s="29"/>
      <c r="AF587" s="29"/>
      <c r="AG587" s="29"/>
      <c r="AH587" s="29"/>
      <c r="AI587" s="29"/>
    </row>
    <row r="588" spans="2:35" s="27" customFormat="1">
      <c r="B588" s="85"/>
      <c r="C588" s="28"/>
      <c r="D588" s="29"/>
      <c r="E588" s="29"/>
      <c r="F588" s="30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  <c r="AD588" s="29"/>
      <c r="AE588" s="29"/>
      <c r="AF588" s="29"/>
      <c r="AG588" s="29"/>
      <c r="AH588" s="29"/>
      <c r="AI588" s="29"/>
    </row>
    <row r="589" spans="2:35" s="27" customFormat="1">
      <c r="B589" s="85"/>
      <c r="C589" s="28"/>
      <c r="D589" s="29"/>
      <c r="E589" s="29"/>
      <c r="F589" s="30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29"/>
      <c r="AH589" s="29"/>
      <c r="AI589" s="29"/>
    </row>
    <row r="590" spans="2:35" s="27" customFormat="1">
      <c r="B590" s="85"/>
      <c r="C590" s="28"/>
      <c r="D590" s="29"/>
      <c r="E590" s="29"/>
      <c r="F590" s="30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29"/>
      <c r="AB590" s="29"/>
      <c r="AC590" s="29"/>
      <c r="AD590" s="29"/>
      <c r="AE590" s="29"/>
      <c r="AF590" s="29"/>
      <c r="AG590" s="29"/>
      <c r="AH590" s="29"/>
      <c r="AI590" s="29"/>
    </row>
    <row r="591" spans="2:35" s="27" customFormat="1">
      <c r="B591" s="85"/>
      <c r="C591" s="28"/>
      <c r="D591" s="29"/>
      <c r="E591" s="29"/>
      <c r="F591" s="30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29"/>
      <c r="AH591" s="29"/>
      <c r="AI591" s="29"/>
    </row>
    <row r="592" spans="2:35" s="27" customFormat="1">
      <c r="B592" s="85"/>
      <c r="C592" s="28"/>
      <c r="D592" s="29"/>
      <c r="E592" s="29"/>
      <c r="F592" s="30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29"/>
      <c r="AH592" s="29"/>
      <c r="AI592" s="29"/>
    </row>
    <row r="593" spans="2:35" s="27" customFormat="1">
      <c r="B593" s="85"/>
      <c r="C593" s="28"/>
      <c r="D593" s="29"/>
      <c r="E593" s="29"/>
      <c r="F593" s="30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29"/>
      <c r="AB593" s="29"/>
      <c r="AC593" s="29"/>
      <c r="AD593" s="29"/>
      <c r="AE593" s="29"/>
      <c r="AF593" s="29"/>
      <c r="AG593" s="29"/>
      <c r="AH593" s="29"/>
      <c r="AI593" s="29"/>
    </row>
    <row r="594" spans="2:35" s="27" customFormat="1">
      <c r="B594" s="85"/>
      <c r="C594" s="28"/>
      <c r="D594" s="29"/>
      <c r="E594" s="29"/>
      <c r="F594" s="30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29"/>
      <c r="AH594" s="29"/>
      <c r="AI594" s="29"/>
    </row>
    <row r="595" spans="2:35" s="27" customFormat="1">
      <c r="B595" s="85"/>
      <c r="C595" s="28"/>
      <c r="D595" s="29"/>
      <c r="E595" s="29"/>
      <c r="F595" s="30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29"/>
      <c r="AH595" s="29"/>
      <c r="AI595" s="29"/>
    </row>
    <row r="596" spans="2:35" s="27" customFormat="1">
      <c r="B596" s="85"/>
      <c r="C596" s="28"/>
      <c r="D596" s="29"/>
      <c r="E596" s="29"/>
      <c r="F596" s="30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29"/>
      <c r="AB596" s="29"/>
      <c r="AC596" s="29"/>
      <c r="AD596" s="29"/>
      <c r="AE596" s="29"/>
      <c r="AF596" s="29"/>
      <c r="AG596" s="29"/>
      <c r="AH596" s="29"/>
      <c r="AI596" s="29"/>
    </row>
    <row r="597" spans="2:35" s="27" customFormat="1">
      <c r="B597" s="85"/>
      <c r="C597" s="28"/>
      <c r="D597" s="29"/>
      <c r="E597" s="29"/>
      <c r="F597" s="30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29"/>
      <c r="AH597" s="29"/>
      <c r="AI597" s="29"/>
    </row>
    <row r="598" spans="2:35" s="27" customFormat="1">
      <c r="B598" s="85"/>
      <c r="C598" s="28"/>
      <c r="D598" s="29"/>
      <c r="E598" s="29"/>
      <c r="F598" s="30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  <c r="AD598" s="29"/>
      <c r="AE598" s="29"/>
      <c r="AF598" s="29"/>
      <c r="AG598" s="29"/>
      <c r="AH598" s="29"/>
      <c r="AI598" s="29"/>
    </row>
    <row r="599" spans="2:35" s="27" customFormat="1">
      <c r="B599" s="85"/>
      <c r="C599" s="28"/>
      <c r="D599" s="29"/>
      <c r="E599" s="29"/>
      <c r="F599" s="30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29"/>
      <c r="AB599" s="29"/>
      <c r="AC599" s="29"/>
      <c r="AD599" s="29"/>
      <c r="AE599" s="29"/>
      <c r="AF599" s="29"/>
      <c r="AG599" s="29"/>
      <c r="AH599" s="29"/>
      <c r="AI599" s="29"/>
    </row>
    <row r="600" spans="2:35" s="27" customFormat="1">
      <c r="B600" s="85"/>
      <c r="C600" s="28"/>
      <c r="D600" s="29"/>
      <c r="E600" s="29"/>
      <c r="F600" s="30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  <c r="AD600" s="29"/>
      <c r="AE600" s="29"/>
      <c r="AF600" s="29"/>
      <c r="AG600" s="29"/>
      <c r="AH600" s="29"/>
      <c r="AI600" s="29"/>
    </row>
    <row r="601" spans="2:35" s="27" customFormat="1">
      <c r="B601" s="85"/>
      <c r="C601" s="28"/>
      <c r="D601" s="29"/>
      <c r="E601" s="29"/>
      <c r="F601" s="30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29"/>
      <c r="AH601" s="29"/>
      <c r="AI601" s="29"/>
    </row>
    <row r="602" spans="2:35" s="27" customFormat="1">
      <c r="B602" s="85"/>
      <c r="C602" s="28"/>
      <c r="D602" s="29"/>
      <c r="E602" s="29"/>
      <c r="F602" s="30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29"/>
      <c r="AB602" s="29"/>
      <c r="AC602" s="29"/>
      <c r="AD602" s="29"/>
      <c r="AE602" s="29"/>
      <c r="AF602" s="29"/>
      <c r="AG602" s="29"/>
      <c r="AH602" s="29"/>
      <c r="AI602" s="29"/>
    </row>
    <row r="603" spans="2:35" s="27" customFormat="1">
      <c r="B603" s="85"/>
      <c r="C603" s="28"/>
      <c r="D603" s="29"/>
      <c r="E603" s="29"/>
      <c r="F603" s="30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  <c r="AD603" s="29"/>
      <c r="AE603" s="29"/>
      <c r="AF603" s="29"/>
      <c r="AG603" s="29"/>
      <c r="AH603" s="29"/>
      <c r="AI603" s="29"/>
    </row>
    <row r="604" spans="2:35" s="27" customFormat="1">
      <c r="B604" s="85"/>
      <c r="C604" s="28"/>
      <c r="D604" s="29"/>
      <c r="E604" s="29"/>
      <c r="F604" s="30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29"/>
      <c r="AB604" s="29"/>
      <c r="AC604" s="29"/>
      <c r="AD604" s="29"/>
      <c r="AE604" s="29"/>
      <c r="AF604" s="29"/>
      <c r="AG604" s="29"/>
      <c r="AH604" s="29"/>
      <c r="AI604" s="29"/>
    </row>
    <row r="605" spans="2:35" s="27" customFormat="1">
      <c r="B605" s="85"/>
      <c r="C605" s="28"/>
      <c r="D605" s="29"/>
      <c r="E605" s="29"/>
      <c r="F605" s="30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29"/>
      <c r="AB605" s="29"/>
      <c r="AC605" s="29"/>
      <c r="AD605" s="29"/>
      <c r="AE605" s="29"/>
      <c r="AF605" s="29"/>
      <c r="AG605" s="29"/>
      <c r="AH605" s="29"/>
      <c r="AI605" s="29"/>
    </row>
    <row r="606" spans="2:35" s="27" customFormat="1">
      <c r="B606" s="85"/>
      <c r="C606" s="28"/>
      <c r="D606" s="29"/>
      <c r="E606" s="29"/>
      <c r="F606" s="30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29"/>
      <c r="AB606" s="29"/>
      <c r="AC606" s="29"/>
      <c r="AD606" s="29"/>
      <c r="AE606" s="29"/>
      <c r="AF606" s="29"/>
      <c r="AG606" s="29"/>
      <c r="AH606" s="29"/>
      <c r="AI606" s="29"/>
    </row>
    <row r="607" spans="2:35" s="27" customFormat="1">
      <c r="B607" s="85"/>
      <c r="C607" s="28"/>
      <c r="D607" s="29"/>
      <c r="E607" s="29"/>
      <c r="F607" s="30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29"/>
      <c r="AB607" s="29"/>
      <c r="AC607" s="29"/>
      <c r="AD607" s="29"/>
      <c r="AE607" s="29"/>
      <c r="AF607" s="29"/>
      <c r="AG607" s="29"/>
      <c r="AH607" s="29"/>
      <c r="AI607" s="29"/>
    </row>
    <row r="608" spans="2:35" s="27" customFormat="1">
      <c r="B608" s="85"/>
      <c r="C608" s="28"/>
      <c r="D608" s="29"/>
      <c r="E608" s="29"/>
      <c r="F608" s="30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29"/>
      <c r="AB608" s="29"/>
      <c r="AC608" s="29"/>
      <c r="AD608" s="29"/>
      <c r="AE608" s="29"/>
      <c r="AF608" s="29"/>
      <c r="AG608" s="29"/>
      <c r="AH608" s="29"/>
      <c r="AI608" s="29"/>
    </row>
    <row r="609" spans="2:35" s="27" customFormat="1">
      <c r="B609" s="85"/>
      <c r="C609" s="28"/>
      <c r="D609" s="29"/>
      <c r="E609" s="29"/>
      <c r="F609" s="30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29"/>
      <c r="AB609" s="29"/>
      <c r="AC609" s="29"/>
      <c r="AD609" s="29"/>
      <c r="AE609" s="29"/>
      <c r="AF609" s="29"/>
      <c r="AG609" s="29"/>
      <c r="AH609" s="29"/>
      <c r="AI609" s="29"/>
    </row>
    <row r="610" spans="2:35" s="27" customFormat="1">
      <c r="B610" s="85"/>
      <c r="C610" s="28"/>
      <c r="D610" s="29"/>
      <c r="E610" s="29"/>
      <c r="F610" s="30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29"/>
      <c r="AB610" s="29"/>
      <c r="AC610" s="29"/>
      <c r="AD610" s="29"/>
      <c r="AE610" s="29"/>
      <c r="AF610" s="29"/>
      <c r="AG610" s="29"/>
      <c r="AH610" s="29"/>
      <c r="AI610" s="29"/>
    </row>
    <row r="611" spans="2:35" s="27" customFormat="1">
      <c r="B611" s="85"/>
      <c r="C611" s="28"/>
      <c r="D611" s="29"/>
      <c r="E611" s="29"/>
      <c r="F611" s="30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29"/>
      <c r="AB611" s="29"/>
      <c r="AC611" s="29"/>
      <c r="AD611" s="29"/>
      <c r="AE611" s="29"/>
      <c r="AF611" s="29"/>
      <c r="AG611" s="29"/>
      <c r="AH611" s="29"/>
      <c r="AI611" s="29"/>
    </row>
    <row r="612" spans="2:35" s="27" customFormat="1">
      <c r="B612" s="85"/>
      <c r="C612" s="28"/>
      <c r="D612" s="29"/>
      <c r="E612" s="29"/>
      <c r="F612" s="30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29"/>
      <c r="AB612" s="29"/>
      <c r="AC612" s="29"/>
      <c r="AD612" s="29"/>
      <c r="AE612" s="29"/>
      <c r="AF612" s="29"/>
      <c r="AG612" s="29"/>
      <c r="AH612" s="29"/>
      <c r="AI612" s="29"/>
    </row>
    <row r="613" spans="2:35" s="27" customFormat="1">
      <c r="B613" s="85"/>
      <c r="C613" s="28"/>
      <c r="D613" s="29"/>
      <c r="E613" s="29"/>
      <c r="F613" s="30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29"/>
      <c r="AB613" s="29"/>
      <c r="AC613" s="29"/>
      <c r="AD613" s="29"/>
      <c r="AE613" s="29"/>
      <c r="AF613" s="29"/>
      <c r="AG613" s="29"/>
      <c r="AH613" s="29"/>
      <c r="AI613" s="29"/>
    </row>
    <row r="614" spans="2:35" s="27" customFormat="1">
      <c r="B614" s="85"/>
      <c r="C614" s="28"/>
      <c r="D614" s="29"/>
      <c r="E614" s="29"/>
      <c r="F614" s="30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29"/>
      <c r="AB614" s="29"/>
      <c r="AC614" s="29"/>
      <c r="AD614" s="29"/>
      <c r="AE614" s="29"/>
      <c r="AF614" s="29"/>
      <c r="AG614" s="29"/>
      <c r="AH614" s="29"/>
      <c r="AI614" s="29"/>
    </row>
    <row r="615" spans="2:35" s="27" customFormat="1">
      <c r="B615" s="85"/>
      <c r="C615" s="28"/>
      <c r="D615" s="29"/>
      <c r="E615" s="29"/>
      <c r="F615" s="30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29"/>
      <c r="AB615" s="29"/>
      <c r="AC615" s="29"/>
      <c r="AD615" s="29"/>
      <c r="AE615" s="29"/>
      <c r="AF615" s="29"/>
      <c r="AG615" s="29"/>
      <c r="AH615" s="29"/>
      <c r="AI615" s="29"/>
    </row>
    <row r="616" spans="2:35" s="27" customFormat="1">
      <c r="B616" s="85"/>
      <c r="C616" s="28"/>
      <c r="D616" s="29"/>
      <c r="E616" s="29"/>
      <c r="F616" s="30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29"/>
      <c r="AB616" s="29"/>
      <c r="AC616" s="29"/>
      <c r="AD616" s="29"/>
      <c r="AE616" s="29"/>
      <c r="AF616" s="29"/>
      <c r="AG616" s="29"/>
      <c r="AH616" s="29"/>
      <c r="AI616" s="29"/>
    </row>
    <row r="617" spans="2:35" s="27" customFormat="1">
      <c r="B617" s="85"/>
      <c r="C617" s="28"/>
      <c r="D617" s="29"/>
      <c r="E617" s="29"/>
      <c r="F617" s="30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29"/>
      <c r="AB617" s="29"/>
      <c r="AC617" s="29"/>
      <c r="AD617" s="29"/>
      <c r="AE617" s="29"/>
      <c r="AF617" s="29"/>
      <c r="AG617" s="29"/>
      <c r="AH617" s="29"/>
      <c r="AI617" s="29"/>
    </row>
    <row r="618" spans="2:35" s="27" customFormat="1">
      <c r="B618" s="85"/>
      <c r="C618" s="28"/>
      <c r="D618" s="29"/>
      <c r="E618" s="29"/>
      <c r="F618" s="30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29"/>
      <c r="AB618" s="29"/>
      <c r="AC618" s="29"/>
      <c r="AD618" s="29"/>
      <c r="AE618" s="29"/>
      <c r="AF618" s="29"/>
      <c r="AG618" s="29"/>
      <c r="AH618" s="29"/>
      <c r="AI618" s="29"/>
    </row>
    <row r="619" spans="2:35" s="27" customFormat="1">
      <c r="B619" s="85"/>
      <c r="C619" s="28"/>
      <c r="D619" s="29"/>
      <c r="E619" s="29"/>
      <c r="F619" s="30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29"/>
      <c r="AB619" s="29"/>
      <c r="AC619" s="29"/>
      <c r="AD619" s="29"/>
      <c r="AE619" s="29"/>
      <c r="AF619" s="29"/>
      <c r="AG619" s="29"/>
      <c r="AH619" s="29"/>
      <c r="AI619" s="29"/>
    </row>
    <row r="620" spans="2:35" s="27" customFormat="1">
      <c r="B620" s="85"/>
      <c r="C620" s="28"/>
      <c r="D620" s="29"/>
      <c r="E620" s="29"/>
      <c r="F620" s="30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29"/>
      <c r="AB620" s="29"/>
      <c r="AC620" s="29"/>
      <c r="AD620" s="29"/>
      <c r="AE620" s="29"/>
      <c r="AF620" s="29"/>
      <c r="AG620" s="29"/>
      <c r="AH620" s="29"/>
      <c r="AI620" s="29"/>
    </row>
    <row r="621" spans="2:35" s="27" customFormat="1">
      <c r="B621" s="85"/>
      <c r="C621" s="28"/>
      <c r="D621" s="29"/>
      <c r="E621" s="29"/>
      <c r="F621" s="30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29"/>
      <c r="AB621" s="29"/>
      <c r="AC621" s="29"/>
      <c r="AD621" s="29"/>
      <c r="AE621" s="29"/>
      <c r="AF621" s="29"/>
      <c r="AG621" s="29"/>
      <c r="AH621" s="29"/>
      <c r="AI621" s="29"/>
    </row>
    <row r="622" spans="2:35" s="27" customFormat="1">
      <c r="B622" s="85"/>
      <c r="C622" s="28"/>
      <c r="D622" s="29"/>
      <c r="E622" s="29"/>
      <c r="F622" s="30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29"/>
      <c r="AB622" s="29"/>
      <c r="AC622" s="29"/>
      <c r="AD622" s="29"/>
      <c r="AE622" s="29"/>
      <c r="AF622" s="29"/>
      <c r="AG622" s="29"/>
      <c r="AH622" s="29"/>
      <c r="AI622" s="29"/>
    </row>
    <row r="623" spans="2:35" s="27" customFormat="1">
      <c r="B623" s="85"/>
      <c r="C623" s="28"/>
      <c r="D623" s="29"/>
      <c r="E623" s="29"/>
      <c r="F623" s="30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29"/>
      <c r="AB623" s="29"/>
      <c r="AC623" s="29"/>
      <c r="AD623" s="29"/>
      <c r="AE623" s="29"/>
      <c r="AF623" s="29"/>
      <c r="AG623" s="29"/>
      <c r="AH623" s="29"/>
      <c r="AI623" s="29"/>
    </row>
    <row r="624" spans="2:35" s="27" customFormat="1">
      <c r="B624" s="85"/>
      <c r="C624" s="28"/>
      <c r="D624" s="29"/>
      <c r="E624" s="29"/>
      <c r="F624" s="30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29"/>
      <c r="AB624" s="29"/>
      <c r="AC624" s="29"/>
      <c r="AD624" s="29"/>
      <c r="AE624" s="29"/>
      <c r="AF624" s="29"/>
      <c r="AG624" s="29"/>
      <c r="AH624" s="29"/>
      <c r="AI624" s="29"/>
    </row>
    <row r="625" spans="2:35" s="27" customFormat="1">
      <c r="B625" s="85"/>
      <c r="C625" s="28"/>
      <c r="D625" s="29"/>
      <c r="E625" s="29"/>
      <c r="F625" s="30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29"/>
      <c r="AB625" s="29"/>
      <c r="AC625" s="29"/>
      <c r="AD625" s="29"/>
      <c r="AE625" s="29"/>
      <c r="AF625" s="29"/>
      <c r="AG625" s="29"/>
      <c r="AH625" s="29"/>
      <c r="AI625" s="29"/>
    </row>
    <row r="626" spans="2:35" s="27" customFormat="1">
      <c r="B626" s="85"/>
      <c r="C626" s="28"/>
      <c r="D626" s="29"/>
      <c r="E626" s="29"/>
      <c r="F626" s="30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29"/>
      <c r="AB626" s="29"/>
      <c r="AC626" s="29"/>
      <c r="AD626" s="29"/>
      <c r="AE626" s="29"/>
      <c r="AF626" s="29"/>
      <c r="AG626" s="29"/>
      <c r="AH626" s="29"/>
      <c r="AI626" s="29"/>
    </row>
    <row r="627" spans="2:35" s="27" customFormat="1">
      <c r="B627" s="85"/>
      <c r="C627" s="28"/>
      <c r="D627" s="29"/>
      <c r="E627" s="29"/>
      <c r="F627" s="30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29"/>
      <c r="AB627" s="29"/>
      <c r="AC627" s="29"/>
      <c r="AD627" s="29"/>
      <c r="AE627" s="29"/>
      <c r="AF627" s="29"/>
      <c r="AG627" s="29"/>
      <c r="AH627" s="29"/>
      <c r="AI627" s="29"/>
    </row>
    <row r="628" spans="2:35" s="27" customFormat="1">
      <c r="B628" s="85"/>
      <c r="C628" s="28"/>
      <c r="D628" s="29"/>
      <c r="E628" s="29"/>
      <c r="F628" s="30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29"/>
      <c r="AB628" s="29"/>
      <c r="AC628" s="29"/>
      <c r="AD628" s="29"/>
      <c r="AE628" s="29"/>
      <c r="AF628" s="29"/>
      <c r="AG628" s="29"/>
      <c r="AH628" s="29"/>
      <c r="AI628" s="29"/>
    </row>
    <row r="629" spans="2:35" s="27" customFormat="1">
      <c r="B629" s="85"/>
      <c r="C629" s="28"/>
      <c r="D629" s="29"/>
      <c r="E629" s="29"/>
      <c r="F629" s="30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29"/>
      <c r="AB629" s="29"/>
      <c r="AC629" s="29"/>
      <c r="AD629" s="29"/>
      <c r="AE629" s="29"/>
      <c r="AF629" s="29"/>
      <c r="AG629" s="29"/>
      <c r="AH629" s="29"/>
      <c r="AI629" s="29"/>
    </row>
    <row r="630" spans="2:35" s="27" customFormat="1">
      <c r="B630" s="85"/>
      <c r="C630" s="28"/>
      <c r="D630" s="29"/>
      <c r="E630" s="29"/>
      <c r="F630" s="30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29"/>
      <c r="AB630" s="29"/>
      <c r="AC630" s="29"/>
      <c r="AD630" s="29"/>
      <c r="AE630" s="29"/>
      <c r="AF630" s="29"/>
      <c r="AG630" s="29"/>
      <c r="AH630" s="29"/>
      <c r="AI630" s="29"/>
    </row>
    <row r="631" spans="2:35" s="27" customFormat="1">
      <c r="B631" s="85"/>
      <c r="C631" s="28"/>
      <c r="D631" s="29"/>
      <c r="E631" s="29"/>
      <c r="F631" s="30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29"/>
      <c r="AB631" s="29"/>
      <c r="AC631" s="29"/>
      <c r="AD631" s="29"/>
      <c r="AE631" s="29"/>
      <c r="AF631" s="29"/>
      <c r="AG631" s="29"/>
      <c r="AH631" s="29"/>
      <c r="AI631" s="29"/>
    </row>
    <row r="632" spans="2:35" s="27" customFormat="1">
      <c r="B632" s="85"/>
      <c r="C632" s="28"/>
      <c r="D632" s="29"/>
      <c r="E632" s="29"/>
      <c r="F632" s="30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29"/>
      <c r="AB632" s="29"/>
      <c r="AC632" s="29"/>
      <c r="AD632" s="29"/>
      <c r="AE632" s="29"/>
      <c r="AF632" s="29"/>
      <c r="AG632" s="29"/>
      <c r="AH632" s="29"/>
      <c r="AI632" s="29"/>
    </row>
    <row r="633" spans="2:35" s="27" customFormat="1">
      <c r="B633" s="85"/>
      <c r="C633" s="28"/>
      <c r="D633" s="29"/>
      <c r="E633" s="29"/>
      <c r="F633" s="30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29"/>
      <c r="AB633" s="29"/>
      <c r="AC633" s="29"/>
      <c r="AD633" s="29"/>
      <c r="AE633" s="29"/>
      <c r="AF633" s="29"/>
      <c r="AG633" s="29"/>
      <c r="AH633" s="29"/>
      <c r="AI633" s="29"/>
    </row>
    <row r="634" spans="2:35" s="27" customFormat="1">
      <c r="B634" s="85"/>
      <c r="C634" s="28"/>
      <c r="D634" s="29"/>
      <c r="E634" s="29"/>
      <c r="F634" s="30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29"/>
      <c r="AB634" s="29"/>
      <c r="AC634" s="29"/>
      <c r="AD634" s="29"/>
      <c r="AE634" s="29"/>
      <c r="AF634" s="29"/>
      <c r="AG634" s="29"/>
      <c r="AH634" s="29"/>
      <c r="AI634" s="29"/>
    </row>
    <row r="635" spans="2:35" s="27" customFormat="1">
      <c r="B635" s="85"/>
      <c r="C635" s="28"/>
      <c r="D635" s="29"/>
      <c r="E635" s="29"/>
      <c r="F635" s="30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29"/>
      <c r="AB635" s="29"/>
      <c r="AC635" s="29"/>
      <c r="AD635" s="29"/>
      <c r="AE635" s="29"/>
      <c r="AF635" s="29"/>
      <c r="AG635" s="29"/>
      <c r="AH635" s="29"/>
      <c r="AI635" s="29"/>
    </row>
    <row r="636" spans="2:35" s="27" customFormat="1">
      <c r="B636" s="85"/>
      <c r="C636" s="28"/>
      <c r="D636" s="29"/>
      <c r="E636" s="29"/>
      <c r="F636" s="30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29"/>
      <c r="AB636" s="29"/>
      <c r="AC636" s="29"/>
      <c r="AD636" s="29"/>
      <c r="AE636" s="29"/>
      <c r="AF636" s="29"/>
      <c r="AG636" s="29"/>
      <c r="AH636" s="29"/>
      <c r="AI636" s="29"/>
    </row>
    <row r="637" spans="2:35" s="27" customFormat="1">
      <c r="B637" s="85"/>
      <c r="C637" s="28"/>
      <c r="D637" s="29"/>
      <c r="E637" s="29"/>
      <c r="F637" s="30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29"/>
      <c r="AB637" s="29"/>
      <c r="AC637" s="29"/>
      <c r="AD637" s="29"/>
      <c r="AE637" s="29"/>
      <c r="AF637" s="29"/>
      <c r="AG637" s="29"/>
      <c r="AH637" s="29"/>
      <c r="AI637" s="29"/>
    </row>
    <row r="638" spans="2:35" s="27" customFormat="1">
      <c r="B638" s="85"/>
      <c r="C638" s="28"/>
      <c r="D638" s="29"/>
      <c r="E638" s="29"/>
      <c r="F638" s="30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29"/>
      <c r="AB638" s="29"/>
      <c r="AC638" s="29"/>
      <c r="AD638" s="29"/>
      <c r="AE638" s="29"/>
      <c r="AF638" s="29"/>
      <c r="AG638" s="29"/>
      <c r="AH638" s="29"/>
      <c r="AI638" s="29"/>
    </row>
    <row r="639" spans="2:35" s="27" customFormat="1">
      <c r="B639" s="85"/>
      <c r="C639" s="28"/>
      <c r="D639" s="29"/>
      <c r="E639" s="29"/>
      <c r="F639" s="30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29"/>
      <c r="AB639" s="29"/>
      <c r="AC639" s="29"/>
      <c r="AD639" s="29"/>
      <c r="AE639" s="29"/>
      <c r="AF639" s="29"/>
      <c r="AG639" s="29"/>
      <c r="AH639" s="29"/>
      <c r="AI639" s="29"/>
    </row>
    <row r="640" spans="2:35" s="27" customFormat="1">
      <c r="B640" s="85"/>
      <c r="C640" s="28"/>
      <c r="D640" s="29"/>
      <c r="E640" s="29"/>
      <c r="F640" s="30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29"/>
      <c r="AB640" s="29"/>
      <c r="AC640" s="29"/>
      <c r="AD640" s="29"/>
      <c r="AE640" s="29"/>
      <c r="AF640" s="29"/>
      <c r="AG640" s="29"/>
      <c r="AH640" s="29"/>
      <c r="AI640" s="29"/>
    </row>
    <row r="641" spans="2:35" s="27" customFormat="1">
      <c r="B641" s="85"/>
      <c r="C641" s="28"/>
      <c r="D641" s="29"/>
      <c r="E641" s="29"/>
      <c r="F641" s="30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29"/>
      <c r="AB641" s="29"/>
      <c r="AC641" s="29"/>
      <c r="AD641" s="29"/>
      <c r="AE641" s="29"/>
      <c r="AF641" s="29"/>
      <c r="AG641" s="29"/>
      <c r="AH641" s="29"/>
      <c r="AI641" s="29"/>
    </row>
    <row r="642" spans="2:35" s="27" customFormat="1">
      <c r="B642" s="85"/>
      <c r="C642" s="28"/>
      <c r="D642" s="29"/>
      <c r="E642" s="29"/>
      <c r="F642" s="30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29"/>
      <c r="AB642" s="29"/>
      <c r="AC642" s="29"/>
      <c r="AD642" s="29"/>
      <c r="AE642" s="29"/>
      <c r="AF642" s="29"/>
      <c r="AG642" s="29"/>
      <c r="AH642" s="29"/>
      <c r="AI642" s="29"/>
    </row>
    <row r="643" spans="2:35" s="27" customFormat="1">
      <c r="B643" s="85"/>
      <c r="C643" s="28"/>
      <c r="D643" s="29"/>
      <c r="E643" s="29"/>
      <c r="F643" s="30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29"/>
      <c r="AB643" s="29"/>
      <c r="AC643" s="29"/>
      <c r="AD643" s="29"/>
      <c r="AE643" s="29"/>
      <c r="AF643" s="29"/>
      <c r="AG643" s="29"/>
      <c r="AH643" s="29"/>
      <c r="AI643" s="29"/>
    </row>
    <row r="644" spans="2:35" s="27" customFormat="1">
      <c r="B644" s="85"/>
      <c r="C644" s="28"/>
      <c r="D644" s="29"/>
      <c r="E644" s="29"/>
      <c r="F644" s="30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29"/>
      <c r="AB644" s="29"/>
      <c r="AC644" s="29"/>
      <c r="AD644" s="29"/>
      <c r="AE644" s="29"/>
      <c r="AF644" s="29"/>
      <c r="AG644" s="29"/>
      <c r="AH644" s="29"/>
      <c r="AI644" s="29"/>
    </row>
    <row r="645" spans="2:35" s="27" customFormat="1">
      <c r="B645" s="85"/>
      <c r="C645" s="28"/>
      <c r="D645" s="29"/>
      <c r="E645" s="29"/>
      <c r="F645" s="30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29"/>
      <c r="AB645" s="29"/>
      <c r="AC645" s="29"/>
      <c r="AD645" s="29"/>
      <c r="AE645" s="29"/>
      <c r="AF645" s="29"/>
      <c r="AG645" s="29"/>
      <c r="AH645" s="29"/>
      <c r="AI645" s="29"/>
    </row>
    <row r="646" spans="2:35" s="27" customFormat="1">
      <c r="B646" s="85"/>
      <c r="C646" s="28"/>
      <c r="D646" s="29"/>
      <c r="E646" s="29"/>
      <c r="F646" s="30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29"/>
      <c r="AB646" s="29"/>
      <c r="AC646" s="29"/>
      <c r="AD646" s="29"/>
      <c r="AE646" s="29"/>
      <c r="AF646" s="29"/>
      <c r="AG646" s="29"/>
      <c r="AH646" s="29"/>
      <c r="AI646" s="29"/>
    </row>
    <row r="647" spans="2:35" s="27" customFormat="1">
      <c r="B647" s="85"/>
      <c r="C647" s="28"/>
      <c r="D647" s="29"/>
      <c r="E647" s="29"/>
      <c r="F647" s="30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29"/>
      <c r="AB647" s="29"/>
      <c r="AC647" s="29"/>
      <c r="AD647" s="29"/>
      <c r="AE647" s="29"/>
      <c r="AF647" s="29"/>
      <c r="AG647" s="29"/>
      <c r="AH647" s="29"/>
      <c r="AI647" s="29"/>
    </row>
    <row r="648" spans="2:35" s="27" customFormat="1">
      <c r="B648" s="85"/>
      <c r="C648" s="28"/>
      <c r="D648" s="29"/>
      <c r="E648" s="29"/>
      <c r="F648" s="30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29"/>
      <c r="AB648" s="29"/>
      <c r="AC648" s="29"/>
      <c r="AD648" s="29"/>
      <c r="AE648" s="29"/>
      <c r="AF648" s="29"/>
      <c r="AG648" s="29"/>
      <c r="AH648" s="29"/>
      <c r="AI648" s="29"/>
    </row>
    <row r="649" spans="2:35" s="27" customFormat="1">
      <c r="B649" s="85"/>
      <c r="C649" s="28"/>
      <c r="D649" s="29"/>
      <c r="E649" s="29"/>
      <c r="F649" s="30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29"/>
      <c r="AB649" s="29"/>
      <c r="AC649" s="29"/>
      <c r="AD649" s="29"/>
      <c r="AE649" s="29"/>
      <c r="AF649" s="29"/>
      <c r="AG649" s="29"/>
      <c r="AH649" s="29"/>
      <c r="AI649" s="29"/>
    </row>
    <row r="650" spans="2:35" s="27" customFormat="1">
      <c r="B650" s="85"/>
      <c r="C650" s="28"/>
      <c r="D650" s="29"/>
      <c r="E650" s="29"/>
      <c r="F650" s="30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29"/>
      <c r="AB650" s="29"/>
      <c r="AC650" s="29"/>
      <c r="AD650" s="29"/>
      <c r="AE650" s="29"/>
      <c r="AF650" s="29"/>
      <c r="AG650" s="29"/>
      <c r="AH650" s="29"/>
      <c r="AI650" s="29"/>
    </row>
    <row r="651" spans="2:35" s="27" customFormat="1">
      <c r="B651" s="85"/>
      <c r="C651" s="28"/>
      <c r="D651" s="29"/>
      <c r="E651" s="29"/>
      <c r="F651" s="30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29"/>
      <c r="AB651" s="29"/>
      <c r="AC651" s="29"/>
      <c r="AD651" s="29"/>
      <c r="AE651" s="29"/>
      <c r="AF651" s="29"/>
      <c r="AG651" s="29"/>
      <c r="AH651" s="29"/>
      <c r="AI651" s="29"/>
    </row>
    <row r="652" spans="2:35" s="27" customFormat="1">
      <c r="B652" s="85"/>
      <c r="C652" s="28"/>
      <c r="D652" s="29"/>
      <c r="E652" s="29"/>
      <c r="F652" s="30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29"/>
      <c r="AB652" s="29"/>
      <c r="AC652" s="29"/>
      <c r="AD652" s="29"/>
      <c r="AE652" s="29"/>
      <c r="AF652" s="29"/>
      <c r="AG652" s="29"/>
      <c r="AH652" s="29"/>
      <c r="AI652" s="29"/>
    </row>
    <row r="653" spans="2:35" s="27" customFormat="1">
      <c r="B653" s="85"/>
      <c r="C653" s="28"/>
      <c r="D653" s="29"/>
      <c r="E653" s="29"/>
      <c r="F653" s="30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29"/>
      <c r="AB653" s="29"/>
      <c r="AC653" s="29"/>
      <c r="AD653" s="29"/>
      <c r="AE653" s="29"/>
      <c r="AF653" s="29"/>
      <c r="AG653" s="29"/>
      <c r="AH653" s="29"/>
      <c r="AI653" s="29"/>
    </row>
    <row r="654" spans="2:35" s="27" customFormat="1">
      <c r="B654" s="85"/>
      <c r="C654" s="28"/>
      <c r="D654" s="29"/>
      <c r="E654" s="29"/>
      <c r="F654" s="30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29"/>
      <c r="AB654" s="29"/>
      <c r="AC654" s="29"/>
      <c r="AD654" s="29"/>
      <c r="AE654" s="29"/>
      <c r="AF654" s="29"/>
      <c r="AG654" s="29"/>
      <c r="AH654" s="29"/>
      <c r="AI654" s="29"/>
    </row>
    <row r="655" spans="2:35" s="27" customFormat="1">
      <c r="B655" s="85"/>
      <c r="C655" s="28"/>
      <c r="D655" s="29"/>
      <c r="E655" s="29"/>
      <c r="F655" s="30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29"/>
      <c r="AB655" s="29"/>
      <c r="AC655" s="29"/>
      <c r="AD655" s="29"/>
      <c r="AE655" s="29"/>
      <c r="AF655" s="29"/>
      <c r="AG655" s="29"/>
      <c r="AH655" s="29"/>
      <c r="AI655" s="29"/>
    </row>
    <row r="656" spans="2:35" s="27" customFormat="1">
      <c r="B656" s="85"/>
      <c r="C656" s="28"/>
      <c r="D656" s="29"/>
      <c r="E656" s="29"/>
      <c r="F656" s="30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29"/>
      <c r="AB656" s="29"/>
      <c r="AC656" s="29"/>
      <c r="AD656" s="29"/>
      <c r="AE656" s="29"/>
      <c r="AF656" s="29"/>
      <c r="AG656" s="29"/>
      <c r="AH656" s="29"/>
      <c r="AI656" s="29"/>
    </row>
    <row r="657" spans="2:35" s="27" customFormat="1">
      <c r="B657" s="85"/>
      <c r="C657" s="28"/>
      <c r="D657" s="29"/>
      <c r="E657" s="29"/>
      <c r="F657" s="30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29"/>
      <c r="AB657" s="29"/>
      <c r="AC657" s="29"/>
      <c r="AD657" s="29"/>
      <c r="AE657" s="29"/>
      <c r="AF657" s="29"/>
      <c r="AG657" s="29"/>
      <c r="AH657" s="29"/>
      <c r="AI657" s="29"/>
    </row>
    <row r="658" spans="2:35" s="27" customFormat="1">
      <c r="B658" s="85"/>
      <c r="C658" s="28"/>
      <c r="D658" s="29"/>
      <c r="E658" s="29"/>
      <c r="F658" s="30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29"/>
      <c r="AB658" s="29"/>
      <c r="AC658" s="29"/>
      <c r="AD658" s="29"/>
      <c r="AE658" s="29"/>
      <c r="AF658" s="29"/>
      <c r="AG658" s="29"/>
      <c r="AH658" s="29"/>
      <c r="AI658" s="29"/>
    </row>
    <row r="659" spans="2:35" s="27" customFormat="1">
      <c r="B659" s="85"/>
      <c r="C659" s="28"/>
      <c r="D659" s="29"/>
      <c r="E659" s="29"/>
      <c r="F659" s="30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29"/>
      <c r="AB659" s="29"/>
      <c r="AC659" s="29"/>
      <c r="AD659" s="29"/>
      <c r="AE659" s="29"/>
      <c r="AF659" s="29"/>
      <c r="AG659" s="29"/>
      <c r="AH659" s="29"/>
      <c r="AI659" s="29"/>
    </row>
    <row r="660" spans="2:35" s="27" customFormat="1">
      <c r="B660" s="85"/>
      <c r="C660" s="28"/>
      <c r="D660" s="29"/>
      <c r="E660" s="29"/>
      <c r="F660" s="30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29"/>
      <c r="AB660" s="29"/>
      <c r="AC660" s="29"/>
      <c r="AD660" s="29"/>
      <c r="AE660" s="29"/>
      <c r="AF660" s="29"/>
      <c r="AG660" s="29"/>
      <c r="AH660" s="29"/>
      <c r="AI660" s="29"/>
    </row>
    <row r="661" spans="2:35" s="27" customFormat="1">
      <c r="B661" s="85"/>
      <c r="C661" s="28"/>
      <c r="D661" s="29"/>
      <c r="E661" s="29"/>
      <c r="F661" s="30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29"/>
      <c r="AB661" s="29"/>
      <c r="AC661" s="29"/>
      <c r="AD661" s="29"/>
      <c r="AE661" s="29"/>
      <c r="AF661" s="29"/>
      <c r="AG661" s="29"/>
      <c r="AH661" s="29"/>
      <c r="AI661" s="29"/>
    </row>
    <row r="662" spans="2:35" s="27" customFormat="1">
      <c r="B662" s="85"/>
      <c r="C662" s="28"/>
      <c r="D662" s="29"/>
      <c r="E662" s="29"/>
      <c r="F662" s="30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29"/>
      <c r="AB662" s="29"/>
      <c r="AC662" s="29"/>
      <c r="AD662" s="29"/>
      <c r="AE662" s="29"/>
      <c r="AF662" s="29"/>
      <c r="AG662" s="29"/>
      <c r="AH662" s="29"/>
      <c r="AI662" s="29"/>
    </row>
    <row r="663" spans="2:35" s="27" customFormat="1">
      <c r="B663" s="85"/>
      <c r="C663" s="28"/>
      <c r="D663" s="29"/>
      <c r="E663" s="29"/>
      <c r="F663" s="30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29"/>
      <c r="AB663" s="29"/>
      <c r="AC663" s="29"/>
      <c r="AD663" s="29"/>
      <c r="AE663" s="29"/>
      <c r="AF663" s="29"/>
      <c r="AG663" s="29"/>
      <c r="AH663" s="29"/>
      <c r="AI663" s="29"/>
    </row>
    <row r="664" spans="2:35" s="27" customFormat="1">
      <c r="B664" s="85"/>
      <c r="C664" s="28"/>
      <c r="D664" s="29"/>
      <c r="E664" s="29"/>
      <c r="F664" s="30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29"/>
      <c r="AB664" s="29"/>
      <c r="AC664" s="29"/>
      <c r="AD664" s="29"/>
      <c r="AE664" s="29"/>
      <c r="AF664" s="29"/>
      <c r="AG664" s="29"/>
      <c r="AH664" s="29"/>
      <c r="AI664" s="29"/>
    </row>
    <row r="665" spans="2:35" s="27" customFormat="1">
      <c r="B665" s="85"/>
      <c r="C665" s="28"/>
      <c r="D665" s="29"/>
      <c r="E665" s="29"/>
      <c r="F665" s="30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29"/>
      <c r="AB665" s="29"/>
      <c r="AC665" s="29"/>
      <c r="AD665" s="29"/>
      <c r="AE665" s="29"/>
      <c r="AF665" s="29"/>
      <c r="AG665" s="29"/>
      <c r="AH665" s="29"/>
      <c r="AI665" s="29"/>
    </row>
    <row r="666" spans="2:35" s="27" customFormat="1">
      <c r="B666" s="85"/>
      <c r="C666" s="28"/>
      <c r="D666" s="29"/>
      <c r="E666" s="29"/>
      <c r="F666" s="30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29"/>
      <c r="AB666" s="29"/>
      <c r="AC666" s="29"/>
      <c r="AD666" s="29"/>
      <c r="AE666" s="29"/>
      <c r="AF666" s="29"/>
      <c r="AG666" s="29"/>
      <c r="AH666" s="29"/>
      <c r="AI666" s="29"/>
    </row>
    <row r="667" spans="2:35" s="27" customFormat="1">
      <c r="B667" s="85"/>
      <c r="C667" s="28"/>
      <c r="D667" s="29"/>
      <c r="E667" s="29"/>
      <c r="F667" s="30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29"/>
      <c r="AB667" s="29"/>
      <c r="AC667" s="29"/>
      <c r="AD667" s="29"/>
      <c r="AE667" s="29"/>
      <c r="AF667" s="29"/>
      <c r="AG667" s="29"/>
      <c r="AH667" s="29"/>
      <c r="AI667" s="29"/>
    </row>
    <row r="668" spans="2:35" s="27" customFormat="1">
      <c r="B668" s="85"/>
      <c r="C668" s="28"/>
      <c r="D668" s="29"/>
      <c r="E668" s="29"/>
      <c r="F668" s="30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29"/>
      <c r="AB668" s="29"/>
      <c r="AC668" s="29"/>
      <c r="AD668" s="29"/>
      <c r="AE668" s="29"/>
      <c r="AF668" s="29"/>
      <c r="AG668" s="29"/>
      <c r="AH668" s="29"/>
      <c r="AI668" s="29"/>
    </row>
    <row r="669" spans="2:35" s="27" customFormat="1">
      <c r="B669" s="85"/>
      <c r="C669" s="28"/>
      <c r="D669" s="29"/>
      <c r="E669" s="29"/>
      <c r="F669" s="30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29"/>
      <c r="AB669" s="29"/>
      <c r="AC669" s="29"/>
      <c r="AD669" s="29"/>
      <c r="AE669" s="29"/>
      <c r="AF669" s="29"/>
      <c r="AG669" s="29"/>
      <c r="AH669" s="29"/>
      <c r="AI669" s="29"/>
    </row>
    <row r="670" spans="2:35" s="27" customFormat="1">
      <c r="B670" s="85"/>
      <c r="C670" s="28"/>
      <c r="D670" s="29"/>
      <c r="E670" s="29"/>
      <c r="F670" s="30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29"/>
      <c r="AB670" s="29"/>
      <c r="AC670" s="29"/>
      <c r="AD670" s="29"/>
      <c r="AE670" s="29"/>
      <c r="AF670" s="29"/>
      <c r="AG670" s="29"/>
      <c r="AH670" s="29"/>
      <c r="AI670" s="29"/>
    </row>
    <row r="671" spans="2:35" s="27" customFormat="1">
      <c r="B671" s="85"/>
      <c r="C671" s="28"/>
      <c r="D671" s="29"/>
      <c r="E671" s="29"/>
      <c r="F671" s="30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29"/>
      <c r="AB671" s="29"/>
      <c r="AC671" s="29"/>
      <c r="AD671" s="29"/>
      <c r="AE671" s="29"/>
      <c r="AF671" s="29"/>
      <c r="AG671" s="29"/>
      <c r="AH671" s="29"/>
      <c r="AI671" s="29"/>
    </row>
    <row r="672" spans="2:35" s="27" customFormat="1">
      <c r="B672" s="85"/>
      <c r="C672" s="28"/>
      <c r="D672" s="29"/>
      <c r="E672" s="29"/>
      <c r="F672" s="30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29"/>
      <c r="AB672" s="29"/>
      <c r="AC672" s="29"/>
      <c r="AD672" s="29"/>
      <c r="AE672" s="29"/>
      <c r="AF672" s="29"/>
      <c r="AG672" s="29"/>
      <c r="AH672" s="29"/>
      <c r="AI672" s="29"/>
    </row>
    <row r="673" spans="2:35" s="27" customFormat="1">
      <c r="B673" s="85"/>
      <c r="C673" s="28"/>
      <c r="D673" s="29"/>
      <c r="E673" s="29"/>
      <c r="F673" s="30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29"/>
      <c r="AB673" s="29"/>
      <c r="AC673" s="29"/>
      <c r="AD673" s="29"/>
      <c r="AE673" s="29"/>
      <c r="AF673" s="29"/>
      <c r="AG673" s="29"/>
      <c r="AH673" s="29"/>
      <c r="AI673" s="29"/>
    </row>
    <row r="674" spans="2:35" s="27" customFormat="1">
      <c r="B674" s="85"/>
      <c r="C674" s="28"/>
      <c r="D674" s="29"/>
      <c r="E674" s="29"/>
      <c r="F674" s="30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29"/>
      <c r="AB674" s="29"/>
      <c r="AC674" s="29"/>
      <c r="AD674" s="29"/>
      <c r="AE674" s="29"/>
      <c r="AF674" s="29"/>
      <c r="AG674" s="29"/>
      <c r="AH674" s="29"/>
      <c r="AI674" s="29"/>
    </row>
    <row r="675" spans="2:35" s="27" customFormat="1">
      <c r="B675" s="85"/>
      <c r="C675" s="28"/>
      <c r="D675" s="29"/>
      <c r="E675" s="29"/>
      <c r="F675" s="30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29"/>
      <c r="AB675" s="29"/>
      <c r="AC675" s="29"/>
      <c r="AD675" s="29"/>
      <c r="AE675" s="29"/>
      <c r="AF675" s="29"/>
      <c r="AG675" s="29"/>
      <c r="AH675" s="29"/>
      <c r="AI675" s="29"/>
    </row>
    <row r="676" spans="2:35" s="27" customFormat="1">
      <c r="B676" s="85"/>
      <c r="C676" s="28"/>
      <c r="D676" s="29"/>
      <c r="E676" s="29"/>
      <c r="F676" s="30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29"/>
      <c r="AB676" s="29"/>
      <c r="AC676" s="29"/>
      <c r="AD676" s="29"/>
      <c r="AE676" s="29"/>
      <c r="AF676" s="29"/>
      <c r="AG676" s="29"/>
      <c r="AH676" s="29"/>
      <c r="AI676" s="29"/>
    </row>
    <row r="677" spans="2:35" s="27" customFormat="1">
      <c r="B677" s="85"/>
      <c r="C677" s="28"/>
      <c r="D677" s="29"/>
      <c r="E677" s="29"/>
      <c r="F677" s="30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29"/>
      <c r="AB677" s="29"/>
      <c r="AC677" s="29"/>
      <c r="AD677" s="29"/>
      <c r="AE677" s="29"/>
      <c r="AF677" s="29"/>
      <c r="AG677" s="29"/>
      <c r="AH677" s="29"/>
      <c r="AI677" s="29"/>
    </row>
    <row r="678" spans="2:35" s="27" customFormat="1">
      <c r="B678" s="85"/>
      <c r="C678" s="28"/>
      <c r="D678" s="29"/>
      <c r="E678" s="29"/>
      <c r="F678" s="30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29"/>
      <c r="AB678" s="29"/>
      <c r="AC678" s="29"/>
      <c r="AD678" s="29"/>
      <c r="AE678" s="29"/>
      <c r="AF678" s="29"/>
      <c r="AG678" s="29"/>
      <c r="AH678" s="29"/>
      <c r="AI678" s="29"/>
    </row>
    <row r="679" spans="2:35" s="27" customFormat="1">
      <c r="B679" s="85"/>
      <c r="C679" s="28"/>
      <c r="D679" s="29"/>
      <c r="E679" s="29"/>
      <c r="F679" s="30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29"/>
      <c r="AB679" s="29"/>
      <c r="AC679" s="29"/>
      <c r="AD679" s="29"/>
      <c r="AE679" s="29"/>
      <c r="AF679" s="29"/>
      <c r="AG679" s="29"/>
      <c r="AH679" s="29"/>
      <c r="AI679" s="29"/>
    </row>
    <row r="680" spans="2:35" s="27" customFormat="1">
      <c r="B680" s="85"/>
      <c r="C680" s="28"/>
      <c r="D680" s="29"/>
      <c r="E680" s="29"/>
      <c r="F680" s="30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29"/>
      <c r="AB680" s="29"/>
      <c r="AC680" s="29"/>
      <c r="AD680" s="29"/>
      <c r="AE680" s="29"/>
      <c r="AF680" s="29"/>
      <c r="AG680" s="29"/>
      <c r="AH680" s="29"/>
      <c r="AI680" s="29"/>
    </row>
    <row r="681" spans="2:35" s="27" customFormat="1">
      <c r="B681" s="85"/>
      <c r="C681" s="28"/>
      <c r="D681" s="29"/>
      <c r="E681" s="29"/>
      <c r="F681" s="30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29"/>
      <c r="AB681" s="29"/>
      <c r="AC681" s="29"/>
      <c r="AD681" s="29"/>
      <c r="AE681" s="29"/>
      <c r="AF681" s="29"/>
      <c r="AG681" s="29"/>
      <c r="AH681" s="29"/>
      <c r="AI681" s="29"/>
    </row>
    <row r="682" spans="2:35" s="27" customFormat="1">
      <c r="B682" s="85"/>
      <c r="C682" s="28"/>
      <c r="D682" s="29"/>
      <c r="E682" s="29"/>
      <c r="F682" s="30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29"/>
      <c r="AB682" s="29"/>
      <c r="AC682" s="29"/>
      <c r="AD682" s="29"/>
      <c r="AE682" s="29"/>
      <c r="AF682" s="29"/>
      <c r="AG682" s="29"/>
      <c r="AH682" s="29"/>
      <c r="AI682" s="29"/>
    </row>
    <row r="683" spans="2:35" s="27" customFormat="1">
      <c r="B683" s="85"/>
      <c r="C683" s="28"/>
      <c r="D683" s="29"/>
      <c r="E683" s="29"/>
      <c r="F683" s="30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29"/>
      <c r="AB683" s="29"/>
      <c r="AC683" s="29"/>
      <c r="AD683" s="29"/>
      <c r="AE683" s="29"/>
      <c r="AF683" s="29"/>
      <c r="AG683" s="29"/>
      <c r="AH683" s="29"/>
      <c r="AI683" s="29"/>
    </row>
    <row r="684" spans="2:35" s="27" customFormat="1">
      <c r="B684" s="85"/>
      <c r="C684" s="28"/>
      <c r="D684" s="29"/>
      <c r="E684" s="29"/>
      <c r="F684" s="30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29"/>
      <c r="AB684" s="29"/>
      <c r="AC684" s="29"/>
      <c r="AD684" s="29"/>
      <c r="AE684" s="29"/>
      <c r="AF684" s="29"/>
      <c r="AG684" s="29"/>
      <c r="AH684" s="29"/>
      <c r="AI684" s="29"/>
    </row>
    <row r="685" spans="2:35" s="27" customFormat="1">
      <c r="B685" s="85"/>
      <c r="C685" s="28"/>
      <c r="D685" s="29"/>
      <c r="E685" s="29"/>
      <c r="F685" s="30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29"/>
      <c r="AB685" s="29"/>
      <c r="AC685" s="29"/>
      <c r="AD685" s="29"/>
      <c r="AE685" s="29"/>
      <c r="AF685" s="29"/>
      <c r="AG685" s="29"/>
      <c r="AH685" s="29"/>
      <c r="AI685" s="29"/>
    </row>
    <row r="686" spans="2:35" s="27" customFormat="1">
      <c r="B686" s="85"/>
      <c r="C686" s="28"/>
      <c r="D686" s="29"/>
      <c r="E686" s="29"/>
      <c r="F686" s="30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29"/>
      <c r="AB686" s="29"/>
      <c r="AC686" s="29"/>
      <c r="AD686" s="29"/>
      <c r="AE686" s="29"/>
      <c r="AF686" s="29"/>
      <c r="AG686" s="29"/>
      <c r="AH686" s="29"/>
      <c r="AI686" s="29"/>
    </row>
    <row r="687" spans="2:35" s="27" customFormat="1">
      <c r="B687" s="85"/>
      <c r="C687" s="28"/>
      <c r="D687" s="29"/>
      <c r="E687" s="29"/>
      <c r="F687" s="30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29"/>
      <c r="AB687" s="29"/>
      <c r="AC687" s="29"/>
      <c r="AD687" s="29"/>
      <c r="AE687" s="29"/>
      <c r="AF687" s="29"/>
      <c r="AG687" s="29"/>
      <c r="AH687" s="29"/>
      <c r="AI687" s="29"/>
    </row>
    <row r="688" spans="2:35" s="27" customFormat="1">
      <c r="B688" s="85"/>
      <c r="C688" s="28"/>
      <c r="D688" s="29"/>
      <c r="E688" s="29"/>
      <c r="F688" s="30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29"/>
      <c r="AB688" s="29"/>
      <c r="AC688" s="29"/>
      <c r="AD688" s="29"/>
      <c r="AE688" s="29"/>
      <c r="AF688" s="29"/>
      <c r="AG688" s="29"/>
      <c r="AH688" s="29"/>
      <c r="AI688" s="29"/>
    </row>
    <row r="689" spans="1:215" s="27" customFormat="1">
      <c r="B689" s="85"/>
      <c r="C689" s="28"/>
      <c r="D689" s="29"/>
      <c r="E689" s="29"/>
      <c r="F689" s="30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29"/>
      <c r="AB689" s="29"/>
      <c r="AC689" s="29"/>
      <c r="AD689" s="29"/>
      <c r="AE689" s="29"/>
      <c r="AF689" s="29"/>
      <c r="AG689" s="29"/>
      <c r="AH689" s="29"/>
      <c r="AI689" s="29"/>
    </row>
    <row r="690" spans="1:215" s="27" customFormat="1">
      <c r="B690" s="85"/>
      <c r="C690" s="28"/>
      <c r="D690" s="29"/>
      <c r="E690" s="29"/>
      <c r="F690" s="30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29"/>
      <c r="AB690" s="29"/>
      <c r="AC690" s="29"/>
      <c r="AD690" s="29"/>
      <c r="AE690" s="29"/>
      <c r="AF690" s="29"/>
      <c r="AG690" s="29"/>
      <c r="AH690" s="29"/>
      <c r="AI690" s="29"/>
    </row>
    <row r="691" spans="1:215" s="27" customFormat="1">
      <c r="B691" s="85"/>
      <c r="C691" s="28"/>
      <c r="D691" s="29"/>
      <c r="E691" s="29"/>
      <c r="F691" s="30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29"/>
      <c r="AB691" s="29"/>
      <c r="AC691" s="29"/>
      <c r="AD691" s="29"/>
      <c r="AE691" s="29"/>
      <c r="AF691" s="29"/>
      <c r="AG691" s="29"/>
      <c r="AH691" s="29"/>
      <c r="AI691" s="29"/>
    </row>
    <row r="692" spans="1:215" s="27" customFormat="1">
      <c r="B692" s="85"/>
      <c r="C692" s="28"/>
      <c r="D692" s="29"/>
      <c r="E692" s="29"/>
      <c r="F692" s="30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29"/>
      <c r="AB692" s="29"/>
      <c r="AC692" s="29"/>
      <c r="AD692" s="29"/>
      <c r="AE692" s="29"/>
      <c r="AF692" s="29"/>
      <c r="AG692" s="29"/>
      <c r="AH692" s="29"/>
      <c r="AI692" s="29"/>
    </row>
    <row r="693" spans="1:215" s="27" customFormat="1">
      <c r="B693" s="85"/>
      <c r="C693" s="28"/>
      <c r="D693" s="29"/>
      <c r="E693" s="29"/>
      <c r="F693" s="30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29"/>
      <c r="AB693" s="29"/>
      <c r="AC693" s="29"/>
      <c r="AD693" s="29"/>
      <c r="AE693" s="29"/>
      <c r="AF693" s="29"/>
      <c r="AG693" s="29"/>
      <c r="AH693" s="29"/>
      <c r="AI693" s="29"/>
    </row>
    <row r="694" spans="1:215" s="27" customFormat="1">
      <c r="B694" s="85"/>
      <c r="C694" s="28"/>
      <c r="D694" s="29"/>
      <c r="E694" s="29"/>
      <c r="F694" s="30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29"/>
      <c r="AB694" s="29"/>
      <c r="AC694" s="29"/>
      <c r="AD694" s="29"/>
      <c r="AE694" s="29"/>
      <c r="AF694" s="29"/>
      <c r="AG694" s="29"/>
      <c r="AH694" s="29"/>
      <c r="AI694" s="29"/>
    </row>
    <row r="695" spans="1:215" s="27" customFormat="1">
      <c r="B695" s="85"/>
      <c r="C695" s="28"/>
      <c r="D695" s="29"/>
      <c r="E695" s="29"/>
      <c r="F695" s="30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29"/>
      <c r="AB695" s="29"/>
      <c r="AC695" s="29"/>
      <c r="AD695" s="29"/>
      <c r="AE695" s="29"/>
      <c r="AF695" s="29"/>
      <c r="AG695" s="29"/>
      <c r="AH695" s="29"/>
      <c r="AI695" s="29"/>
    </row>
    <row r="696" spans="1:215" s="27" customFormat="1">
      <c r="B696" s="85"/>
      <c r="C696" s="28"/>
      <c r="D696" s="29"/>
      <c r="E696" s="29"/>
      <c r="F696" s="30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29"/>
      <c r="AB696" s="29"/>
      <c r="AC696" s="29"/>
      <c r="AD696" s="29"/>
      <c r="AE696" s="29"/>
      <c r="AF696" s="29"/>
      <c r="AG696" s="29"/>
      <c r="AH696" s="29"/>
      <c r="AI696" s="29"/>
    </row>
    <row r="697" spans="1:215" s="27" customFormat="1">
      <c r="B697" s="85"/>
      <c r="C697" s="28"/>
      <c r="D697" s="29"/>
      <c r="E697" s="29"/>
      <c r="F697" s="30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29"/>
      <c r="AB697" s="29"/>
      <c r="AC697" s="29"/>
      <c r="AD697" s="29"/>
      <c r="AE697" s="29"/>
      <c r="AF697" s="29"/>
      <c r="AG697" s="29"/>
      <c r="AH697" s="29"/>
      <c r="AI697" s="29"/>
    </row>
    <row r="698" spans="1:215" s="27" customFormat="1">
      <c r="B698" s="85"/>
      <c r="C698" s="28"/>
      <c r="D698" s="29"/>
      <c r="E698" s="29"/>
      <c r="F698" s="30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29"/>
      <c r="AB698" s="29"/>
      <c r="AC698" s="29"/>
      <c r="AD698" s="29"/>
      <c r="AE698" s="29"/>
      <c r="AF698" s="29"/>
      <c r="AG698" s="29"/>
      <c r="AH698" s="29"/>
      <c r="AI698" s="29"/>
    </row>
    <row r="699" spans="1:215" s="27" customFormat="1">
      <c r="B699" s="85"/>
      <c r="C699" s="28"/>
      <c r="D699" s="29"/>
      <c r="E699" s="29"/>
      <c r="F699" s="30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29"/>
      <c r="AB699" s="29"/>
      <c r="AC699" s="29"/>
      <c r="AD699" s="29"/>
      <c r="AE699" s="29"/>
      <c r="AF699" s="29"/>
      <c r="AG699" s="29"/>
      <c r="AH699" s="29"/>
      <c r="AI699" s="29"/>
    </row>
    <row r="700" spans="1:215" s="27" customFormat="1">
      <c r="B700" s="85"/>
      <c r="C700" s="28"/>
      <c r="D700" s="29"/>
      <c r="E700" s="29"/>
      <c r="F700" s="30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29"/>
      <c r="AB700" s="29"/>
      <c r="AC700" s="29"/>
      <c r="AD700" s="29"/>
      <c r="AE700" s="29"/>
      <c r="AF700" s="29"/>
      <c r="AG700" s="29"/>
      <c r="AH700" s="29"/>
      <c r="AI700" s="29"/>
    </row>
    <row r="701" spans="1:215" s="27" customFormat="1">
      <c r="B701" s="85"/>
      <c r="C701" s="61"/>
      <c r="D701" s="29"/>
      <c r="E701" s="29"/>
      <c r="F701" s="30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29"/>
      <c r="AB701" s="29"/>
      <c r="AC701" s="29"/>
      <c r="AD701" s="29"/>
      <c r="AE701" s="29"/>
      <c r="AF701" s="29"/>
      <c r="AG701" s="29"/>
      <c r="AH701" s="29"/>
      <c r="AI701" s="29"/>
    </row>
    <row r="702" spans="1:215">
      <c r="A702" s="27"/>
      <c r="B702" s="85"/>
      <c r="C702" s="28"/>
      <c r="D702" s="29"/>
      <c r="E702" s="29"/>
      <c r="F702" s="30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29"/>
      <c r="AB702" s="29"/>
      <c r="AC702" s="29"/>
      <c r="AD702" s="29"/>
      <c r="AE702" s="29"/>
      <c r="AF702" s="29"/>
      <c r="AG702" s="29"/>
      <c r="AH702" s="29"/>
      <c r="AI702" s="29"/>
      <c r="AJ702" s="27"/>
      <c r="AK702" s="27"/>
      <c r="AL702" s="27"/>
      <c r="AM702" s="27"/>
      <c r="AN702" s="27"/>
      <c r="AO702" s="27"/>
      <c r="AP702" s="27"/>
      <c r="AQ702" s="27"/>
      <c r="AR702" s="27"/>
      <c r="AS702" s="27"/>
      <c r="AT702" s="27"/>
      <c r="AU702" s="27"/>
      <c r="AV702" s="27"/>
      <c r="AW702" s="27"/>
      <c r="AX702" s="27"/>
      <c r="AY702" s="27"/>
      <c r="AZ702" s="27"/>
      <c r="BA702" s="27"/>
      <c r="BB702" s="27"/>
      <c r="BC702" s="27"/>
      <c r="BD702" s="27"/>
      <c r="BE702" s="27"/>
      <c r="BF702" s="27"/>
      <c r="BG702" s="27"/>
      <c r="BH702" s="27"/>
      <c r="BI702" s="27"/>
      <c r="BJ702" s="27"/>
      <c r="BK702" s="27"/>
      <c r="BL702" s="27"/>
      <c r="BM702" s="27"/>
      <c r="BN702" s="27"/>
      <c r="BO702" s="27"/>
      <c r="BP702" s="27"/>
      <c r="BQ702" s="27"/>
      <c r="BR702" s="27"/>
      <c r="BS702" s="27"/>
      <c r="BT702" s="27"/>
      <c r="BU702" s="27"/>
      <c r="BV702" s="27"/>
      <c r="BW702" s="27"/>
      <c r="BX702" s="27"/>
      <c r="BY702" s="27"/>
      <c r="BZ702" s="27"/>
      <c r="CA702" s="27"/>
      <c r="CB702" s="27"/>
      <c r="CC702" s="27"/>
      <c r="CD702" s="27"/>
      <c r="CE702" s="27"/>
      <c r="CF702" s="27"/>
      <c r="CG702" s="27"/>
      <c r="CH702" s="27"/>
      <c r="CI702" s="27"/>
      <c r="CJ702" s="27"/>
      <c r="CK702" s="27"/>
      <c r="CL702" s="27"/>
      <c r="CM702" s="27"/>
      <c r="CN702" s="27"/>
      <c r="CO702" s="27"/>
      <c r="CP702" s="27"/>
      <c r="CQ702" s="27"/>
      <c r="CR702" s="27"/>
      <c r="CS702" s="27"/>
      <c r="CT702" s="27"/>
      <c r="CU702" s="27"/>
      <c r="CV702" s="27"/>
      <c r="CW702" s="27"/>
      <c r="CX702" s="27"/>
      <c r="CY702" s="27"/>
      <c r="CZ702" s="27"/>
      <c r="DA702" s="27"/>
      <c r="DB702" s="27"/>
      <c r="DC702" s="27"/>
      <c r="DD702" s="27"/>
      <c r="DE702" s="27"/>
      <c r="DF702" s="27"/>
      <c r="DG702" s="27"/>
      <c r="DH702" s="27"/>
      <c r="DI702" s="27"/>
      <c r="DJ702" s="27"/>
      <c r="DK702" s="27"/>
      <c r="DL702" s="27"/>
      <c r="DM702" s="27"/>
      <c r="DN702" s="27"/>
      <c r="DO702" s="27"/>
      <c r="DP702" s="27"/>
      <c r="DQ702" s="27"/>
      <c r="DR702" s="27"/>
      <c r="DS702" s="27"/>
      <c r="DT702" s="27"/>
      <c r="DU702" s="27"/>
      <c r="DV702" s="27"/>
      <c r="DW702" s="27"/>
      <c r="DX702" s="27"/>
      <c r="DY702" s="27"/>
      <c r="DZ702" s="27"/>
      <c r="EA702" s="27"/>
      <c r="EB702" s="27"/>
      <c r="EC702" s="27"/>
      <c r="ED702" s="27"/>
      <c r="EE702" s="27"/>
      <c r="EF702" s="27"/>
      <c r="EG702" s="27"/>
      <c r="EH702" s="27"/>
      <c r="EI702" s="27"/>
      <c r="EJ702" s="27"/>
      <c r="EK702" s="27"/>
      <c r="EL702" s="27"/>
      <c r="EM702" s="27"/>
      <c r="EN702" s="27"/>
      <c r="EO702" s="27"/>
      <c r="EP702" s="27"/>
      <c r="EQ702" s="27"/>
      <c r="ER702" s="27"/>
      <c r="ES702" s="27"/>
      <c r="ET702" s="27"/>
      <c r="EU702" s="27"/>
      <c r="EV702" s="27"/>
      <c r="EW702" s="27"/>
      <c r="EX702" s="27"/>
      <c r="EY702" s="27"/>
      <c r="EZ702" s="27"/>
      <c r="FA702" s="27"/>
      <c r="FB702" s="27"/>
      <c r="FC702" s="27"/>
      <c r="FD702" s="27"/>
      <c r="FE702" s="27"/>
      <c r="FF702" s="27"/>
      <c r="FG702" s="27"/>
      <c r="FH702" s="27"/>
      <c r="FI702" s="27"/>
      <c r="FJ702" s="27"/>
      <c r="FK702" s="27"/>
      <c r="FL702" s="27"/>
      <c r="FM702" s="27"/>
      <c r="FN702" s="27"/>
      <c r="FO702" s="27"/>
      <c r="FP702" s="27"/>
      <c r="FQ702" s="27"/>
      <c r="FR702" s="27"/>
      <c r="FS702" s="27"/>
      <c r="FT702" s="27"/>
      <c r="FU702" s="27"/>
      <c r="FV702" s="27"/>
      <c r="FW702" s="27"/>
      <c r="FX702" s="27"/>
      <c r="FY702" s="27"/>
      <c r="FZ702" s="27"/>
      <c r="GA702" s="27"/>
      <c r="GB702" s="27"/>
      <c r="GC702" s="27"/>
      <c r="GD702" s="27"/>
      <c r="GE702" s="27"/>
      <c r="GF702" s="27"/>
      <c r="GG702" s="27"/>
      <c r="GH702" s="27"/>
      <c r="GI702" s="27"/>
      <c r="GJ702" s="27"/>
      <c r="GK702" s="27"/>
      <c r="GL702" s="27"/>
      <c r="GM702" s="27"/>
      <c r="GN702" s="27"/>
      <c r="GO702" s="27"/>
      <c r="GP702" s="27"/>
      <c r="GQ702" s="27"/>
      <c r="GR702" s="27"/>
      <c r="GS702" s="27"/>
      <c r="GT702" s="27"/>
      <c r="GU702" s="27"/>
      <c r="GV702" s="27"/>
      <c r="GW702" s="27"/>
      <c r="GX702" s="27"/>
      <c r="GY702" s="27"/>
      <c r="GZ702" s="27"/>
      <c r="HA702" s="27"/>
      <c r="HB702" s="27"/>
      <c r="HC702" s="27"/>
      <c r="HD702" s="27"/>
      <c r="HE702" s="27"/>
      <c r="HF702" s="27"/>
      <c r="HG702" s="27"/>
    </row>
    <row r="703" spans="1:215">
      <c r="A703" s="27"/>
      <c r="B703" s="85"/>
      <c r="C703" s="28"/>
      <c r="D703" s="29"/>
      <c r="E703" s="29"/>
      <c r="F703" s="30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29"/>
      <c r="AB703" s="29"/>
      <c r="AC703" s="29"/>
      <c r="AD703" s="29"/>
      <c r="AE703" s="29"/>
      <c r="AF703" s="29"/>
      <c r="AG703" s="29"/>
      <c r="AH703" s="29"/>
      <c r="AI703" s="29"/>
      <c r="AJ703" s="27"/>
      <c r="AK703" s="27"/>
      <c r="AL703" s="27"/>
      <c r="AM703" s="27"/>
      <c r="AN703" s="27"/>
      <c r="AO703" s="27"/>
      <c r="AP703" s="27"/>
      <c r="AQ703" s="27"/>
      <c r="AR703" s="27"/>
      <c r="AS703" s="27"/>
      <c r="AT703" s="27"/>
      <c r="AU703" s="27"/>
      <c r="AV703" s="27"/>
      <c r="AW703" s="27"/>
      <c r="AX703" s="27"/>
      <c r="AY703" s="27"/>
      <c r="AZ703" s="27"/>
      <c r="BA703" s="27"/>
      <c r="BB703" s="27"/>
      <c r="BC703" s="27"/>
      <c r="BD703" s="27"/>
      <c r="BE703" s="27"/>
      <c r="BF703" s="27"/>
      <c r="BG703" s="27"/>
      <c r="BH703" s="27"/>
      <c r="BI703" s="27"/>
      <c r="BJ703" s="27"/>
      <c r="BK703" s="27"/>
      <c r="BL703" s="27"/>
      <c r="BM703" s="27"/>
      <c r="BN703" s="27"/>
      <c r="BO703" s="27"/>
      <c r="BP703" s="27"/>
      <c r="BQ703" s="27"/>
      <c r="BR703" s="27"/>
      <c r="BS703" s="27"/>
      <c r="BT703" s="27"/>
      <c r="BU703" s="27"/>
      <c r="BV703" s="27"/>
      <c r="BW703" s="27"/>
      <c r="BX703" s="27"/>
      <c r="BY703" s="27"/>
      <c r="BZ703" s="27"/>
      <c r="CA703" s="27"/>
      <c r="CB703" s="27"/>
      <c r="CC703" s="27"/>
      <c r="CD703" s="27"/>
      <c r="CE703" s="27"/>
      <c r="CF703" s="27"/>
      <c r="CG703" s="27"/>
      <c r="CH703" s="27"/>
      <c r="CI703" s="27"/>
      <c r="CJ703" s="27"/>
      <c r="CK703" s="27"/>
      <c r="CL703" s="27"/>
      <c r="CM703" s="27"/>
      <c r="CN703" s="27"/>
      <c r="CO703" s="27"/>
      <c r="CP703" s="27"/>
      <c r="CQ703" s="27"/>
      <c r="CR703" s="27"/>
      <c r="CS703" s="27"/>
      <c r="CT703" s="27"/>
      <c r="CU703" s="27"/>
      <c r="CV703" s="27"/>
      <c r="CW703" s="27"/>
      <c r="CX703" s="27"/>
      <c r="CY703" s="27"/>
      <c r="CZ703" s="27"/>
      <c r="DA703" s="27"/>
      <c r="DB703" s="27"/>
      <c r="DC703" s="27"/>
      <c r="DD703" s="27"/>
      <c r="DE703" s="27"/>
      <c r="DF703" s="27"/>
      <c r="DG703" s="27"/>
      <c r="DH703" s="27"/>
      <c r="DI703" s="27"/>
      <c r="DJ703" s="27"/>
      <c r="DK703" s="27"/>
      <c r="DL703" s="27"/>
      <c r="DM703" s="27"/>
      <c r="DN703" s="27"/>
      <c r="DO703" s="27"/>
      <c r="DP703" s="27"/>
      <c r="DQ703" s="27"/>
      <c r="DR703" s="27"/>
      <c r="DS703" s="27"/>
      <c r="DT703" s="27"/>
      <c r="DU703" s="27"/>
      <c r="DV703" s="27"/>
      <c r="DW703" s="27"/>
      <c r="DX703" s="27"/>
      <c r="DY703" s="27"/>
      <c r="DZ703" s="27"/>
      <c r="EA703" s="27"/>
      <c r="EB703" s="27"/>
      <c r="EC703" s="27"/>
      <c r="ED703" s="27"/>
      <c r="EE703" s="27"/>
      <c r="EF703" s="27"/>
      <c r="EG703" s="27"/>
      <c r="EH703" s="27"/>
      <c r="EI703" s="27"/>
      <c r="EJ703" s="27"/>
      <c r="EK703" s="27"/>
      <c r="EL703" s="27"/>
      <c r="EM703" s="27"/>
      <c r="EN703" s="27"/>
      <c r="EO703" s="27"/>
      <c r="EP703" s="27"/>
      <c r="EQ703" s="27"/>
      <c r="ER703" s="27"/>
      <c r="ES703" s="27"/>
      <c r="ET703" s="27"/>
      <c r="EU703" s="27"/>
      <c r="EV703" s="27"/>
      <c r="EW703" s="27"/>
      <c r="EX703" s="27"/>
      <c r="EY703" s="27"/>
      <c r="EZ703" s="27"/>
      <c r="FA703" s="27"/>
      <c r="FB703" s="27"/>
      <c r="FC703" s="27"/>
      <c r="FD703" s="27"/>
      <c r="FE703" s="27"/>
      <c r="FF703" s="27"/>
      <c r="FG703" s="27"/>
      <c r="FH703" s="27"/>
      <c r="FI703" s="27"/>
      <c r="FJ703" s="27"/>
      <c r="FK703" s="27"/>
      <c r="FL703" s="27"/>
      <c r="FM703" s="27"/>
      <c r="FN703" s="27"/>
      <c r="FO703" s="27"/>
      <c r="FP703" s="27"/>
      <c r="FQ703" s="27"/>
      <c r="FR703" s="27"/>
      <c r="FS703" s="27"/>
      <c r="FT703" s="27"/>
      <c r="FU703" s="27"/>
      <c r="FV703" s="27"/>
      <c r="FW703" s="27"/>
      <c r="FX703" s="27"/>
      <c r="FY703" s="27"/>
      <c r="FZ703" s="27"/>
      <c r="GA703" s="27"/>
      <c r="GB703" s="27"/>
      <c r="GC703" s="27"/>
      <c r="GD703" s="27"/>
      <c r="GE703" s="27"/>
      <c r="GF703" s="27"/>
      <c r="GG703" s="27"/>
      <c r="GH703" s="27"/>
      <c r="GI703" s="27"/>
      <c r="GJ703" s="27"/>
      <c r="GK703" s="27"/>
      <c r="GL703" s="27"/>
      <c r="GM703" s="27"/>
      <c r="GN703" s="27"/>
      <c r="GO703" s="27"/>
      <c r="GP703" s="27"/>
      <c r="GQ703" s="27"/>
      <c r="GR703" s="27"/>
      <c r="GS703" s="27"/>
      <c r="GT703" s="27"/>
      <c r="GU703" s="27"/>
      <c r="GV703" s="27"/>
      <c r="GW703" s="27"/>
      <c r="GX703" s="27"/>
      <c r="GY703" s="27"/>
      <c r="GZ703" s="27"/>
      <c r="HA703" s="27"/>
      <c r="HB703" s="27"/>
      <c r="HC703" s="27"/>
      <c r="HD703" s="27"/>
      <c r="HE703" s="27"/>
      <c r="HF703" s="27"/>
      <c r="HG703" s="27"/>
    </row>
  </sheetData>
  <sheetProtection insertRows="0" deleteRows="0" autoFilter="0"/>
  <autoFilter ref="B7:N48"/>
  <mergeCells count="3">
    <mergeCell ref="B3:G6"/>
    <mergeCell ref="H5:I5"/>
    <mergeCell ref="H3:I3"/>
  </mergeCells>
  <phoneticPr fontId="28" type="noConversion"/>
  <conditionalFormatting sqref="D48:BW48">
    <cfRule type="expression" dxfId="44" priority="48">
      <formula>TRUE</formula>
    </cfRule>
  </conditionalFormatting>
  <conditionalFormatting sqref="P15:HG16 P8:HG13 P18:HG47">
    <cfRule type="expression" dxfId="43" priority="133">
      <formula>_Real</formula>
    </cfRule>
    <cfRule type="expression" dxfId="42" priority="134">
      <formula>_CompletedAfterDeadline</formula>
    </cfRule>
    <cfRule type="expression" dxfId="41" priority="135">
      <formula>_Planned</formula>
    </cfRule>
    <cfRule type="expression" dxfId="40" priority="136">
      <formula>P$7=$J$5+_TimeFrameSelected-1</formula>
    </cfRule>
    <cfRule type="expression" dxfId="39" priority="137">
      <formula>MOD(COLUMN(),2)</formula>
    </cfRule>
    <cfRule type="expression" dxfId="38" priority="138">
      <formula>MOD(COLUMN(),2)=0</formula>
    </cfRule>
  </conditionalFormatting>
  <conditionalFormatting sqref="P7:HG7">
    <cfRule type="expression" dxfId="37" priority="139">
      <formula>P$7=$J$5+_TimeFrameSelected-1</formula>
    </cfRule>
  </conditionalFormatting>
  <conditionalFormatting sqref="BX48:HG48">
    <cfRule type="expression" dxfId="36" priority="46">
      <formula>TRUE</formula>
    </cfRule>
  </conditionalFormatting>
  <conditionalFormatting sqref="K15:K16 K10:K13 K18:K22 K24:K38 K42:K47">
    <cfRule type="containsText" dxfId="35" priority="39" operator="containsText" text="Em andamento">
      <formula>NOT(ISERROR(SEARCH("Em andamento",K10)))</formula>
    </cfRule>
    <cfRule type="containsText" dxfId="34" priority="40" operator="containsText" text="Em atraso">
      <formula>NOT(ISERROR(SEARCH("Em atraso",K10)))</formula>
    </cfRule>
    <cfRule type="containsText" dxfId="33" priority="41" operator="containsText" text="Concluído">
      <formula>NOT(ISERROR(SEARCH("Concluído",K10)))</formula>
    </cfRule>
  </conditionalFormatting>
  <conditionalFormatting sqref="B48">
    <cfRule type="expression" dxfId="32" priority="38">
      <formula>TRUE</formula>
    </cfRule>
  </conditionalFormatting>
  <conditionalFormatting sqref="P14:HG14">
    <cfRule type="expression" dxfId="31" priority="32">
      <formula>_Real</formula>
    </cfRule>
    <cfRule type="expression" dxfId="30" priority="33">
      <formula>_CompletedAfterDeadline</formula>
    </cfRule>
    <cfRule type="expression" dxfId="29" priority="34">
      <formula>_Planned</formula>
    </cfRule>
    <cfRule type="expression" dxfId="28" priority="35">
      <formula>P$7=$J$5+_TimeFrameSelected-1</formula>
    </cfRule>
    <cfRule type="expression" dxfId="27" priority="36">
      <formula>MOD(COLUMN(),2)</formula>
    </cfRule>
    <cfRule type="expression" dxfId="26" priority="37">
      <formula>MOD(COLUMN(),2)=0</formula>
    </cfRule>
  </conditionalFormatting>
  <conditionalFormatting sqref="K14">
    <cfRule type="containsText" dxfId="25" priority="27" operator="containsText" text="Em andamento">
      <formula>NOT(ISERROR(SEARCH("Em andamento",K14)))</formula>
    </cfRule>
    <cfRule type="containsText" dxfId="24" priority="28" operator="containsText" text="Em atraso">
      <formula>NOT(ISERROR(SEARCH("Em atraso",K14)))</formula>
    </cfRule>
    <cfRule type="containsText" dxfId="23" priority="29" operator="containsText" text="Concluído">
      <formula>NOT(ISERROR(SEARCH("Concluído",K14)))</formula>
    </cfRule>
  </conditionalFormatting>
  <conditionalFormatting sqref="P17:HG17">
    <cfRule type="expression" dxfId="22" priority="21">
      <formula>_Real</formula>
    </cfRule>
    <cfRule type="expression" dxfId="21" priority="22">
      <formula>_CompletedAfterDeadline</formula>
    </cfRule>
    <cfRule type="expression" dxfId="20" priority="23">
      <formula>_Planned</formula>
    </cfRule>
    <cfRule type="expression" dxfId="19" priority="24">
      <formula>P$7=$J$5+_TimeFrameSelected-1</formula>
    </cfRule>
    <cfRule type="expression" dxfId="18" priority="25">
      <formula>MOD(COLUMN(),2)</formula>
    </cfRule>
    <cfRule type="expression" dxfId="17" priority="26">
      <formula>MOD(COLUMN(),2)=0</formula>
    </cfRule>
  </conditionalFormatting>
  <conditionalFormatting sqref="K17">
    <cfRule type="containsText" dxfId="16" priority="13" operator="containsText" text="Em andamento">
      <formula>NOT(ISERROR(SEARCH("Em andamento",K17)))</formula>
    </cfRule>
    <cfRule type="containsText" dxfId="15" priority="14" operator="containsText" text="Em atraso">
      <formula>NOT(ISERROR(SEARCH("Em atraso",K17)))</formula>
    </cfRule>
    <cfRule type="containsText" dxfId="14" priority="15" operator="containsText" text="Concluído">
      <formula>NOT(ISERROR(SEARCH("Concluído",K17)))</formula>
    </cfRule>
  </conditionalFormatting>
  <conditionalFormatting sqref="K23">
    <cfRule type="containsText" dxfId="13" priority="10" operator="containsText" text="Em andamento">
      <formula>NOT(ISERROR(SEARCH("Em andamento",K23)))</formula>
    </cfRule>
    <cfRule type="containsText" dxfId="12" priority="11" operator="containsText" text="Em atraso">
      <formula>NOT(ISERROR(SEARCH("Em atraso",K23)))</formula>
    </cfRule>
    <cfRule type="containsText" dxfId="11" priority="12" operator="containsText" text="Concluído">
      <formula>NOT(ISERROR(SEARCH("Concluído",K23)))</formula>
    </cfRule>
  </conditionalFormatting>
  <conditionalFormatting sqref="K39">
    <cfRule type="containsText" dxfId="10" priority="7" operator="containsText" text="Em andamento">
      <formula>NOT(ISERROR(SEARCH("Em andamento",K39)))</formula>
    </cfRule>
    <cfRule type="containsText" dxfId="9" priority="8" operator="containsText" text="Em atraso">
      <formula>NOT(ISERROR(SEARCH("Em atraso",K39)))</formula>
    </cfRule>
    <cfRule type="containsText" dxfId="8" priority="9" operator="containsText" text="Concluído">
      <formula>NOT(ISERROR(SEARCH("Concluído",K39)))</formula>
    </cfRule>
  </conditionalFormatting>
  <conditionalFormatting sqref="K40">
    <cfRule type="containsText" dxfId="7" priority="4" operator="containsText" text="Em andamento">
      <formula>NOT(ISERROR(SEARCH("Em andamento",K40)))</formula>
    </cfRule>
    <cfRule type="containsText" dxfId="6" priority="5" operator="containsText" text="Em atraso">
      <formula>NOT(ISERROR(SEARCH("Em atraso",K40)))</formula>
    </cfRule>
    <cfRule type="containsText" dxfId="5" priority="6" operator="containsText" text="Concluído">
      <formula>NOT(ISERROR(SEARCH("Concluído",K40)))</formula>
    </cfRule>
  </conditionalFormatting>
  <conditionalFormatting sqref="K41">
    <cfRule type="containsText" dxfId="4" priority="1" operator="containsText" text="Em andamento">
      <formula>NOT(ISERROR(SEARCH("Em andamento",K41)))</formula>
    </cfRule>
    <cfRule type="containsText" dxfId="3" priority="2" operator="containsText" text="Em atraso">
      <formula>NOT(ISERROR(SEARCH("Em atraso",K41)))</formula>
    </cfRule>
    <cfRule type="containsText" dxfId="2" priority="3" operator="containsText" text="Concluído">
      <formula>NOT(ISERROR(SEARCH("Concluído",K41)))</formula>
    </cfRule>
  </conditionalFormatting>
  <conditionalFormatting sqref="P8:HG47">
    <cfRule type="expression" dxfId="1" priority="19">
      <formula>_PercentComplete</formula>
    </cfRule>
    <cfRule type="expression" dxfId="0" priority="20">
      <formula>_PercentCompleteOffDeadline</formula>
    </cfRule>
  </conditionalFormatting>
  <pageMargins left="0.45" right="0.45" top="0.5" bottom="0.5" header="0.3" footer="0.3"/>
  <pageSetup paperSize="9" scale="7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Controle Giratório 5">
              <controlPr defaultSize="0" print="0" autoPict="0" altText="Period Highlight Spin Control">
                <anchor moveWithCells="1">
                  <from>
                    <xdr:col>9</xdr:col>
                    <xdr:colOff>942975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5" name="Button 452">
              <controlPr defaultSize="0" print="0" autoFill="0" autoPict="0" macro="[0]!NovaAtividade">
                <anchor moveWithCells="1" sizeWithCells="1">
                  <from>
                    <xdr:col>6</xdr:col>
                    <xdr:colOff>257175</xdr:colOff>
                    <xdr:row>50</xdr:row>
                    <xdr:rowOff>123825</xdr:rowOff>
                  </from>
                  <to>
                    <xdr:col>8</xdr:col>
                    <xdr:colOff>200025</xdr:colOff>
                    <xdr:row>54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C1:E40"/>
  <sheetViews>
    <sheetView topLeftCell="A16" workbookViewId="0">
      <selection activeCell="C38" sqref="C38"/>
    </sheetView>
  </sheetViews>
  <sheetFormatPr defaultRowHeight="15"/>
  <cols>
    <col min="1" max="1" width="1.125" customWidth="1"/>
    <col min="2" max="2" width="1" customWidth="1"/>
    <col min="3" max="3" width="31.625" customWidth="1"/>
    <col min="4" max="4" width="26.875" customWidth="1"/>
    <col min="5" max="5" width="17" customWidth="1"/>
  </cols>
  <sheetData>
    <row r="1" spans="3:5" ht="14.25" customHeight="1">
      <c r="C1" s="73" t="s">
        <v>45</v>
      </c>
    </row>
    <row r="2" spans="3:5" ht="16.5">
      <c r="C2" s="74" t="s">
        <v>36</v>
      </c>
      <c r="D2" s="72"/>
      <c r="E2" s="72"/>
    </row>
    <row r="3" spans="3:5" ht="16.5">
      <c r="C3" s="75" t="s">
        <v>42</v>
      </c>
      <c r="D3" s="72"/>
      <c r="E3" s="45"/>
    </row>
    <row r="4" spans="3:5">
      <c r="C4" s="76" t="s">
        <v>40</v>
      </c>
      <c r="D4" s="72"/>
    </row>
    <row r="5" spans="3:5">
      <c r="C5" s="76" t="s">
        <v>39</v>
      </c>
      <c r="D5" s="72"/>
    </row>
    <row r="6" spans="3:5">
      <c r="C6" s="76" t="s">
        <v>41</v>
      </c>
      <c r="D6" s="72"/>
    </row>
    <row r="7" spans="3:5" ht="16.5">
      <c r="C7" s="77" t="s">
        <v>59</v>
      </c>
      <c r="D7" s="72"/>
    </row>
    <row r="8" spans="3:5">
      <c r="C8" s="76" t="s">
        <v>60</v>
      </c>
      <c r="D8" s="72"/>
    </row>
    <row r="9" spans="3:5">
      <c r="C9" s="76" t="s">
        <v>61</v>
      </c>
    </row>
    <row r="10" spans="3:5">
      <c r="C10" s="76" t="s">
        <v>107</v>
      </c>
    </row>
    <row r="11" spans="3:5" ht="16.5">
      <c r="C11" s="77" t="s">
        <v>43</v>
      </c>
    </row>
    <row r="12" spans="3:5">
      <c r="C12" s="76" t="s">
        <v>85</v>
      </c>
    </row>
    <row r="13" spans="3:5">
      <c r="C13" s="76" t="s">
        <v>86</v>
      </c>
    </row>
    <row r="14" spans="3:5">
      <c r="C14" s="76" t="s">
        <v>87</v>
      </c>
    </row>
    <row r="15" spans="3:5">
      <c r="C15" s="76" t="s">
        <v>88</v>
      </c>
    </row>
    <row r="16" spans="3:5">
      <c r="C16" s="76" t="s">
        <v>89</v>
      </c>
    </row>
    <row r="17" spans="3:3">
      <c r="C17" s="76" t="s">
        <v>90</v>
      </c>
    </row>
    <row r="18" spans="3:3" ht="16.5">
      <c r="C18" s="77" t="s">
        <v>74</v>
      </c>
    </row>
    <row r="19" spans="3:3">
      <c r="C19" s="76" t="s">
        <v>91</v>
      </c>
    </row>
    <row r="20" spans="3:3">
      <c r="C20" s="76" t="s">
        <v>92</v>
      </c>
    </row>
    <row r="21" spans="3:3">
      <c r="C21" s="76" t="s">
        <v>93</v>
      </c>
    </row>
    <row r="22" spans="3:3">
      <c r="C22" s="76" t="s">
        <v>94</v>
      </c>
    </row>
    <row r="23" spans="3:3">
      <c r="C23" s="76" t="s">
        <v>95</v>
      </c>
    </row>
    <row r="24" spans="3:3" ht="15.75">
      <c r="C24" s="104" t="s">
        <v>117</v>
      </c>
    </row>
    <row r="25" spans="3:3">
      <c r="C25" s="76" t="s">
        <v>96</v>
      </c>
    </row>
    <row r="26" spans="3:3">
      <c r="C26" s="76" t="s">
        <v>97</v>
      </c>
    </row>
    <row r="27" spans="3:3">
      <c r="C27" s="76" t="s">
        <v>98</v>
      </c>
    </row>
    <row r="28" spans="3:3" ht="16.5">
      <c r="C28" s="77" t="s">
        <v>75</v>
      </c>
    </row>
    <row r="29" spans="3:3">
      <c r="C29" s="76" t="s">
        <v>99</v>
      </c>
    </row>
    <row r="30" spans="3:3" ht="21" customHeight="1">
      <c r="C30" s="76" t="s">
        <v>100</v>
      </c>
    </row>
    <row r="31" spans="3:3">
      <c r="C31" s="76" t="s">
        <v>101</v>
      </c>
    </row>
    <row r="32" spans="3:3">
      <c r="C32" s="76" t="s">
        <v>102</v>
      </c>
    </row>
    <row r="33" spans="3:3" ht="18" customHeight="1">
      <c r="C33" s="76" t="s">
        <v>103</v>
      </c>
    </row>
    <row r="34" spans="3:3">
      <c r="C34" s="76" t="s">
        <v>104</v>
      </c>
    </row>
    <row r="35" spans="3:3">
      <c r="C35" s="76" t="s">
        <v>105</v>
      </c>
    </row>
    <row r="36" spans="3:3">
      <c r="C36" s="76" t="s">
        <v>106</v>
      </c>
    </row>
    <row r="37" spans="3:3" ht="16.5">
      <c r="C37" s="77" t="s">
        <v>20</v>
      </c>
    </row>
    <row r="38" spans="3:3">
      <c r="C38" s="97" t="s">
        <v>116</v>
      </c>
    </row>
    <row r="39" spans="3:3">
      <c r="C39" s="76" t="s">
        <v>82</v>
      </c>
    </row>
    <row r="40" spans="3:3">
      <c r="C40" s="78" t="s">
        <v>83</v>
      </c>
    </row>
  </sheetData>
  <phoneticPr fontId="28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M57"/>
  <sheetViews>
    <sheetView topLeftCell="A7" zoomScale="70" zoomScaleNormal="70" workbookViewId="0">
      <selection activeCell="H20" sqref="H20"/>
    </sheetView>
  </sheetViews>
  <sheetFormatPr defaultRowHeight="15"/>
  <cols>
    <col min="1" max="1" width="4.25" style="1" customWidth="1"/>
    <col min="2" max="2" width="20.875" style="1" bestFit="1" customWidth="1"/>
    <col min="3" max="3" width="21" style="1" bestFit="1" customWidth="1"/>
    <col min="4" max="4" width="5.25" style="1" bestFit="1" customWidth="1"/>
    <col min="5" max="5" width="20.5" style="1" bestFit="1" customWidth="1"/>
    <col min="6" max="6" width="15.125" style="1" customWidth="1"/>
    <col min="7" max="7" width="16" style="1" bestFit="1" customWidth="1"/>
    <col min="8" max="8" width="27.25" style="1" bestFit="1" customWidth="1"/>
    <col min="9" max="10" width="13.125" style="1" customWidth="1"/>
    <col min="11" max="11" width="14.625" style="1" bestFit="1" customWidth="1"/>
    <col min="12" max="12" width="16.25" style="1" bestFit="1" customWidth="1"/>
    <col min="13" max="13" width="5.25" style="1" bestFit="1" customWidth="1"/>
    <col min="14" max="16384" width="9" style="1"/>
  </cols>
  <sheetData>
    <row r="1" spans="1:13" ht="26.25">
      <c r="B1" s="96" t="s">
        <v>109</v>
      </c>
      <c r="C1" s="96"/>
      <c r="D1" s="96"/>
      <c r="G1" s="95" t="s">
        <v>24</v>
      </c>
      <c r="H1" s="95"/>
      <c r="I1" s="95"/>
      <c r="J1" s="95"/>
      <c r="K1" s="95"/>
      <c r="L1" s="95"/>
      <c r="M1" s="95"/>
    </row>
    <row r="2" spans="1:13" ht="21">
      <c r="B2" s="5">
        <f>Cronograma!$G$8</f>
        <v>43742</v>
      </c>
      <c r="C2" s="9">
        <f>Cronograma!$I$8</f>
        <v>43783</v>
      </c>
    </row>
    <row r="4" spans="1:13" ht="15.75">
      <c r="B4" s="93" t="s">
        <v>24</v>
      </c>
      <c r="C4" s="93"/>
      <c r="D4" s="93"/>
    </row>
    <row r="5" spans="1:13" ht="15" customHeight="1">
      <c r="B5" s="94" t="e">
        <f>Cronograma!$F$8</f>
        <v>#VALUE!</v>
      </c>
      <c r="C5" s="94"/>
      <c r="D5" s="94"/>
    </row>
    <row r="6" spans="1:13" ht="15" customHeight="1">
      <c r="B6" s="94"/>
      <c r="C6" s="94"/>
      <c r="D6" s="94"/>
    </row>
    <row r="7" spans="1:13" ht="15" customHeight="1">
      <c r="B7" s="94"/>
      <c r="C7" s="94"/>
      <c r="D7" s="94"/>
    </row>
    <row r="8" spans="1:13" ht="15" customHeight="1">
      <c r="B8" s="94"/>
      <c r="C8" s="94"/>
      <c r="D8" s="94"/>
    </row>
    <row r="9" spans="1:13" ht="26.25">
      <c r="B9" s="95" t="s">
        <v>108</v>
      </c>
      <c r="C9" s="95"/>
      <c r="D9" s="95"/>
    </row>
    <row r="11" spans="1:13" hidden="1">
      <c r="B11" s="6" t="s">
        <v>54</v>
      </c>
      <c r="C11" s="25" t="s">
        <v>25</v>
      </c>
    </row>
    <row r="12" spans="1:13">
      <c r="B12" s="4"/>
      <c r="C12" s="3"/>
    </row>
    <row r="13" spans="1:13">
      <c r="A13" s="2"/>
      <c r="B13" s="6" t="s">
        <v>110</v>
      </c>
      <c r="C13" s="8"/>
      <c r="D13" s="2"/>
    </row>
    <row r="14" spans="1:13" ht="26.25">
      <c r="A14" s="7"/>
      <c r="B14" s="6" t="s">
        <v>51</v>
      </c>
      <c r="C14" s="6" t="s">
        <v>45</v>
      </c>
      <c r="D14" s="25" t="s">
        <v>28</v>
      </c>
      <c r="G14" s="96" t="s">
        <v>111</v>
      </c>
      <c r="H14" s="96"/>
      <c r="I14" s="96"/>
      <c r="J14" s="96"/>
      <c r="K14" s="96"/>
      <c r="L14" s="96"/>
      <c r="M14" s="96"/>
    </row>
    <row r="15" spans="1:13">
      <c r="A15" s="7"/>
      <c r="B15" s="19">
        <v>43747</v>
      </c>
      <c r="C15" s="8" t="s">
        <v>39</v>
      </c>
      <c r="D15" s="26">
        <v>0.5</v>
      </c>
    </row>
    <row r="16" spans="1:13">
      <c r="A16" s="7"/>
      <c r="B16" s="8"/>
      <c r="C16" s="8" t="s">
        <v>61</v>
      </c>
      <c r="D16" s="26">
        <v>0.4</v>
      </c>
      <c r="G16" s="14" t="s">
        <v>53</v>
      </c>
      <c r="H16" s="21" t="s">
        <v>71</v>
      </c>
      <c r="I16" s="10"/>
      <c r="J16" s="10"/>
      <c r="K16" s="10"/>
      <c r="L16" s="10"/>
      <c r="M16" s="10"/>
    </row>
    <row r="17" spans="1:13">
      <c r="A17" s="7"/>
      <c r="B17" s="19">
        <v>43756</v>
      </c>
      <c r="C17" s="8" t="s">
        <v>94</v>
      </c>
      <c r="D17" s="26">
        <v>0.5</v>
      </c>
      <c r="G17" s="11"/>
      <c r="H17" s="10"/>
      <c r="I17" s="10"/>
      <c r="J17" s="10"/>
      <c r="K17" s="10"/>
      <c r="L17" s="10"/>
      <c r="M17" s="10"/>
    </row>
    <row r="18" spans="1:13">
      <c r="A18" s="7"/>
      <c r="B18" s="19">
        <v>43758</v>
      </c>
      <c r="C18" s="8" t="s">
        <v>90</v>
      </c>
      <c r="D18" s="26">
        <v>5</v>
      </c>
      <c r="G18" s="18" t="s">
        <v>73</v>
      </c>
      <c r="H18" s="8"/>
      <c r="I18" s="8"/>
      <c r="J18" s="8"/>
      <c r="K18" s="8"/>
      <c r="L18" s="8"/>
      <c r="M18" s="24"/>
    </row>
    <row r="19" spans="1:13">
      <c r="A19" s="7"/>
      <c r="B19" s="19">
        <v>43768</v>
      </c>
      <c r="C19" s="8" t="s">
        <v>98</v>
      </c>
      <c r="D19" s="26">
        <v>2</v>
      </c>
      <c r="G19" s="18" t="s">
        <v>44</v>
      </c>
      <c r="H19" s="6" t="s">
        <v>45</v>
      </c>
      <c r="I19" s="6" t="s">
        <v>49</v>
      </c>
      <c r="J19" s="6" t="s">
        <v>51</v>
      </c>
      <c r="K19" s="6" t="s">
        <v>48</v>
      </c>
      <c r="L19" s="6" t="s">
        <v>55</v>
      </c>
      <c r="M19" s="8" t="s">
        <v>28</v>
      </c>
    </row>
    <row r="20" spans="1:13">
      <c r="A20" s="7"/>
      <c r="B20" s="19">
        <v>43770</v>
      </c>
      <c r="C20" s="8" t="s">
        <v>102</v>
      </c>
      <c r="D20" s="26">
        <v>0.5</v>
      </c>
      <c r="G20" s="66" t="s">
        <v>34</v>
      </c>
      <c r="H20" s="8" t="s">
        <v>72</v>
      </c>
      <c r="I20" s="19">
        <v>43742</v>
      </c>
      <c r="J20" s="19">
        <v>43783</v>
      </c>
      <c r="K20" s="20">
        <v>0</v>
      </c>
      <c r="L20" s="8" t="s">
        <v>27</v>
      </c>
      <c r="M20" s="15">
        <v>42</v>
      </c>
    </row>
    <row r="21" spans="1:13">
      <c r="A21" s="7"/>
      <c r="B21" s="19">
        <v>43782</v>
      </c>
      <c r="C21" s="8" t="s">
        <v>106</v>
      </c>
      <c r="D21" s="26">
        <v>2</v>
      </c>
      <c r="G21" s="66" t="s">
        <v>29</v>
      </c>
      <c r="H21" s="8" t="s">
        <v>36</v>
      </c>
      <c r="I21" s="19">
        <v>43746</v>
      </c>
      <c r="J21" s="19">
        <v>43747</v>
      </c>
      <c r="K21" s="20">
        <v>0</v>
      </c>
      <c r="L21" s="8" t="s">
        <v>27</v>
      </c>
      <c r="M21" s="16">
        <v>2</v>
      </c>
    </row>
    <row r="22" spans="1:13" ht="15" customHeight="1">
      <c r="A22" s="7"/>
      <c r="B22" s="19">
        <v>43783</v>
      </c>
      <c r="C22" s="8" t="s">
        <v>83</v>
      </c>
      <c r="D22" s="26">
        <v>0.5</v>
      </c>
      <c r="G22" s="66" t="s">
        <v>3</v>
      </c>
      <c r="H22" s="8" t="s">
        <v>42</v>
      </c>
      <c r="I22" s="19">
        <v>43746</v>
      </c>
      <c r="J22" s="19">
        <v>43746</v>
      </c>
      <c r="K22" s="20">
        <v>0</v>
      </c>
      <c r="L22" s="8" t="s">
        <v>27</v>
      </c>
      <c r="M22" s="16">
        <v>0.5</v>
      </c>
    </row>
    <row r="23" spans="1:13">
      <c r="G23" s="66" t="s">
        <v>6</v>
      </c>
      <c r="H23" s="8" t="s">
        <v>40</v>
      </c>
      <c r="I23" s="19">
        <v>43746</v>
      </c>
      <c r="J23" s="19">
        <v>43746</v>
      </c>
      <c r="K23" s="20">
        <v>0</v>
      </c>
      <c r="L23" s="8" t="s">
        <v>27</v>
      </c>
      <c r="M23" s="16">
        <v>0.5</v>
      </c>
    </row>
    <row r="24" spans="1:13">
      <c r="G24" s="66" t="s">
        <v>9</v>
      </c>
      <c r="H24" s="8" t="s">
        <v>39</v>
      </c>
      <c r="I24" s="19">
        <v>43747</v>
      </c>
      <c r="J24" s="19">
        <v>43747</v>
      </c>
      <c r="K24" s="20">
        <v>0</v>
      </c>
      <c r="L24" s="8" t="s">
        <v>27</v>
      </c>
      <c r="M24" s="16">
        <v>0.5</v>
      </c>
    </row>
    <row r="25" spans="1:13">
      <c r="G25" s="66" t="s">
        <v>7</v>
      </c>
      <c r="H25" s="8" t="s">
        <v>41</v>
      </c>
      <c r="I25" s="19">
        <v>43747</v>
      </c>
      <c r="J25" s="19">
        <v>43747</v>
      </c>
      <c r="K25" s="20">
        <v>0</v>
      </c>
      <c r="L25" s="8" t="s">
        <v>27</v>
      </c>
      <c r="M25" s="16">
        <v>0.5</v>
      </c>
    </row>
    <row r="26" spans="1:13">
      <c r="G26" s="66" t="s">
        <v>30</v>
      </c>
      <c r="H26" s="8" t="s">
        <v>59</v>
      </c>
      <c r="I26" s="19">
        <v>43742</v>
      </c>
      <c r="J26" s="19">
        <v>43758</v>
      </c>
      <c r="K26" s="20">
        <v>0</v>
      </c>
      <c r="L26" s="8" t="s">
        <v>27</v>
      </c>
      <c r="M26" s="16">
        <v>17</v>
      </c>
    </row>
    <row r="27" spans="1:13">
      <c r="G27" s="66" t="s">
        <v>8</v>
      </c>
      <c r="H27" s="8" t="s">
        <v>60</v>
      </c>
      <c r="I27" s="19">
        <v>43747</v>
      </c>
      <c r="J27" s="19">
        <v>43747</v>
      </c>
      <c r="K27" s="20">
        <v>0</v>
      </c>
      <c r="L27" s="8" t="s">
        <v>27</v>
      </c>
      <c r="M27" s="16">
        <v>0.5</v>
      </c>
    </row>
    <row r="28" spans="1:13">
      <c r="G28" s="66" t="s">
        <v>4</v>
      </c>
      <c r="H28" s="8" t="s">
        <v>61</v>
      </c>
      <c r="I28" s="19">
        <v>43747</v>
      </c>
      <c r="J28" s="19">
        <v>43747</v>
      </c>
      <c r="K28" s="20">
        <v>0</v>
      </c>
      <c r="L28" s="8" t="s">
        <v>27</v>
      </c>
      <c r="M28" s="16">
        <v>0.4</v>
      </c>
    </row>
    <row r="29" spans="1:13">
      <c r="G29" s="66" t="s">
        <v>11</v>
      </c>
      <c r="H29" s="8" t="s">
        <v>107</v>
      </c>
      <c r="I29" s="19">
        <v>43747</v>
      </c>
      <c r="J29" s="19">
        <v>43747</v>
      </c>
      <c r="K29" s="20">
        <v>0</v>
      </c>
      <c r="L29" s="8" t="s">
        <v>27</v>
      </c>
      <c r="M29" s="16">
        <v>0.1</v>
      </c>
    </row>
    <row r="30" spans="1:13">
      <c r="G30" s="66" t="s">
        <v>31</v>
      </c>
      <c r="H30" s="8" t="s">
        <v>43</v>
      </c>
      <c r="I30" s="19">
        <v>43742</v>
      </c>
      <c r="J30" s="19">
        <v>43758</v>
      </c>
      <c r="K30" s="20">
        <v>0</v>
      </c>
      <c r="L30" s="8" t="s">
        <v>27</v>
      </c>
      <c r="M30" s="16">
        <v>17</v>
      </c>
    </row>
    <row r="31" spans="1:13">
      <c r="G31" s="66" t="s">
        <v>12</v>
      </c>
      <c r="H31" s="8" t="s">
        <v>85</v>
      </c>
      <c r="I31" s="19">
        <v>43742</v>
      </c>
      <c r="J31" s="19">
        <v>43742</v>
      </c>
      <c r="K31" s="20">
        <v>0</v>
      </c>
      <c r="L31" s="8" t="s">
        <v>27</v>
      </c>
      <c r="M31" s="16">
        <v>0.5</v>
      </c>
    </row>
    <row r="32" spans="1:13">
      <c r="G32" s="66" t="s">
        <v>13</v>
      </c>
      <c r="H32" s="8" t="s">
        <v>86</v>
      </c>
      <c r="I32" s="19">
        <v>43748</v>
      </c>
      <c r="J32" s="19">
        <v>43751</v>
      </c>
      <c r="K32" s="20">
        <v>0</v>
      </c>
      <c r="L32" s="8" t="s">
        <v>27</v>
      </c>
      <c r="M32" s="16">
        <v>4</v>
      </c>
    </row>
    <row r="33" spans="5:13">
      <c r="G33" s="66" t="s">
        <v>14</v>
      </c>
      <c r="H33" s="8" t="s">
        <v>87</v>
      </c>
      <c r="I33" s="19">
        <v>43753</v>
      </c>
      <c r="J33" s="19">
        <v>43753</v>
      </c>
      <c r="K33" s="20">
        <v>0</v>
      </c>
      <c r="L33" s="8" t="s">
        <v>27</v>
      </c>
      <c r="M33" s="16">
        <v>1</v>
      </c>
    </row>
    <row r="34" spans="5:13">
      <c r="G34" s="66" t="s">
        <v>15</v>
      </c>
      <c r="H34" s="8" t="s">
        <v>88</v>
      </c>
      <c r="I34" s="19">
        <v>43754</v>
      </c>
      <c r="J34" s="19">
        <v>43754</v>
      </c>
      <c r="K34" s="20">
        <v>0</v>
      </c>
      <c r="L34" s="8" t="s">
        <v>27</v>
      </c>
      <c r="M34" s="16">
        <v>0.5</v>
      </c>
    </row>
    <row r="35" spans="5:13">
      <c r="G35" s="66" t="s">
        <v>62</v>
      </c>
      <c r="H35" s="8" t="s">
        <v>89</v>
      </c>
      <c r="I35" s="19">
        <v>43754</v>
      </c>
      <c r="J35" s="19">
        <v>43754</v>
      </c>
      <c r="K35" s="20">
        <v>0</v>
      </c>
      <c r="L35" s="8" t="s">
        <v>27</v>
      </c>
      <c r="M35" s="16">
        <v>0.5</v>
      </c>
    </row>
    <row r="36" spans="5:13">
      <c r="G36" s="66" t="s">
        <v>63</v>
      </c>
      <c r="H36" s="8" t="s">
        <v>90</v>
      </c>
      <c r="I36" s="19">
        <v>43754</v>
      </c>
      <c r="J36" s="19">
        <v>43758</v>
      </c>
      <c r="K36" s="20">
        <v>0</v>
      </c>
      <c r="L36" s="8" t="s">
        <v>27</v>
      </c>
      <c r="M36" s="16">
        <v>5</v>
      </c>
    </row>
    <row r="37" spans="5:13">
      <c r="G37" s="66" t="s">
        <v>32</v>
      </c>
      <c r="H37" s="8" t="s">
        <v>74</v>
      </c>
      <c r="I37" s="19">
        <v>43754</v>
      </c>
      <c r="J37" s="19">
        <v>43768</v>
      </c>
      <c r="K37" s="20">
        <v>0</v>
      </c>
      <c r="L37" s="8" t="s">
        <v>27</v>
      </c>
      <c r="M37" s="16">
        <v>15</v>
      </c>
    </row>
    <row r="38" spans="5:13">
      <c r="G38" s="66" t="s">
        <v>16</v>
      </c>
      <c r="H38" s="8" t="s">
        <v>91</v>
      </c>
      <c r="I38" s="19">
        <v>43754</v>
      </c>
      <c r="J38" s="19">
        <v>43754</v>
      </c>
      <c r="K38" s="20">
        <v>0</v>
      </c>
      <c r="L38" s="8" t="s">
        <v>27</v>
      </c>
      <c r="M38" s="16">
        <v>0.5</v>
      </c>
    </row>
    <row r="39" spans="5:13">
      <c r="G39" s="66" t="s">
        <v>18</v>
      </c>
      <c r="H39" s="8" t="s">
        <v>92</v>
      </c>
      <c r="I39" s="19">
        <v>43754</v>
      </c>
      <c r="J39" s="19">
        <v>43754</v>
      </c>
      <c r="K39" s="20">
        <v>0</v>
      </c>
      <c r="L39" s="8" t="s">
        <v>27</v>
      </c>
      <c r="M39" s="16">
        <v>0.5</v>
      </c>
    </row>
    <row r="40" spans="5:13">
      <c r="G40" s="66" t="s">
        <v>19</v>
      </c>
      <c r="H40" s="8" t="s">
        <v>93</v>
      </c>
      <c r="I40" s="19">
        <v>43754</v>
      </c>
      <c r="J40" s="19">
        <v>43755</v>
      </c>
      <c r="K40" s="20">
        <v>0</v>
      </c>
      <c r="L40" s="8" t="s">
        <v>27</v>
      </c>
      <c r="M40" s="16">
        <v>2</v>
      </c>
    </row>
    <row r="41" spans="5:13">
      <c r="G41" s="66" t="s">
        <v>5</v>
      </c>
      <c r="H41" s="8" t="s">
        <v>94</v>
      </c>
      <c r="I41" s="19">
        <v>43756</v>
      </c>
      <c r="J41" s="19">
        <v>43756</v>
      </c>
      <c r="K41" s="20">
        <v>0</v>
      </c>
      <c r="L41" s="8" t="s">
        <v>27</v>
      </c>
      <c r="M41" s="16">
        <v>0.5</v>
      </c>
    </row>
    <row r="42" spans="5:13">
      <c r="G42" s="66" t="s">
        <v>17</v>
      </c>
      <c r="H42" s="8" t="s">
        <v>95</v>
      </c>
      <c r="I42" s="19">
        <v>43756</v>
      </c>
      <c r="J42" s="19">
        <v>43762</v>
      </c>
      <c r="K42" s="20">
        <v>0</v>
      </c>
      <c r="L42" s="8" t="s">
        <v>27</v>
      </c>
      <c r="M42" s="16">
        <v>7</v>
      </c>
    </row>
    <row r="43" spans="5:13">
      <c r="G43" s="66" t="s">
        <v>76</v>
      </c>
      <c r="H43" s="8" t="s">
        <v>96</v>
      </c>
      <c r="I43" s="19">
        <v>43762</v>
      </c>
      <c r="J43" s="19">
        <v>43763</v>
      </c>
      <c r="K43" s="20">
        <v>0</v>
      </c>
      <c r="L43" s="8" t="s">
        <v>27</v>
      </c>
      <c r="M43" s="16">
        <v>2</v>
      </c>
    </row>
    <row r="44" spans="5:13">
      <c r="E44" s="7"/>
      <c r="G44" s="66" t="s">
        <v>77</v>
      </c>
      <c r="H44" s="8" t="s">
        <v>97</v>
      </c>
      <c r="I44" s="19">
        <v>43766</v>
      </c>
      <c r="J44" s="19">
        <v>43767</v>
      </c>
      <c r="K44" s="20">
        <v>0</v>
      </c>
      <c r="L44" s="8" t="s">
        <v>27</v>
      </c>
      <c r="M44" s="16">
        <v>2</v>
      </c>
    </row>
    <row r="45" spans="5:13">
      <c r="G45" s="66" t="s">
        <v>78</v>
      </c>
      <c r="H45" s="8" t="s">
        <v>98</v>
      </c>
      <c r="I45" s="19">
        <v>43767</v>
      </c>
      <c r="J45" s="19">
        <v>43768</v>
      </c>
      <c r="K45" s="20">
        <v>0</v>
      </c>
      <c r="L45" s="8" t="s">
        <v>27</v>
      </c>
      <c r="M45" s="16">
        <v>2</v>
      </c>
    </row>
    <row r="46" spans="5:13">
      <c r="G46" s="66" t="s">
        <v>33</v>
      </c>
      <c r="H46" s="8" t="s">
        <v>75</v>
      </c>
      <c r="I46" s="19">
        <v>43768</v>
      </c>
      <c r="J46" s="19">
        <v>43782</v>
      </c>
      <c r="K46" s="20">
        <v>0</v>
      </c>
      <c r="L46" s="8" t="s">
        <v>27</v>
      </c>
      <c r="M46" s="16">
        <v>15</v>
      </c>
    </row>
    <row r="47" spans="5:13">
      <c r="G47" s="66" t="s">
        <v>21</v>
      </c>
      <c r="H47" s="8" t="s">
        <v>99</v>
      </c>
      <c r="I47" s="19">
        <v>43768</v>
      </c>
      <c r="J47" s="19">
        <v>43768</v>
      </c>
      <c r="K47" s="20">
        <v>0</v>
      </c>
      <c r="L47" s="8" t="s">
        <v>27</v>
      </c>
      <c r="M47" s="16">
        <v>0.5</v>
      </c>
    </row>
    <row r="48" spans="5:13">
      <c r="G48" s="66" t="s">
        <v>22</v>
      </c>
      <c r="H48" s="8" t="s">
        <v>100</v>
      </c>
      <c r="I48" s="19">
        <v>43768</v>
      </c>
      <c r="J48" s="19">
        <v>43768</v>
      </c>
      <c r="K48" s="20">
        <v>0</v>
      </c>
      <c r="L48" s="8" t="s">
        <v>27</v>
      </c>
      <c r="M48" s="16">
        <v>0.5</v>
      </c>
    </row>
    <row r="49" spans="7:13">
      <c r="G49" s="66" t="s">
        <v>10</v>
      </c>
      <c r="H49" s="8" t="s">
        <v>101</v>
      </c>
      <c r="I49" s="19">
        <v>43768</v>
      </c>
      <c r="J49" s="19">
        <v>43769</v>
      </c>
      <c r="K49" s="20">
        <v>0</v>
      </c>
      <c r="L49" s="8" t="s">
        <v>27</v>
      </c>
      <c r="M49" s="16">
        <v>2</v>
      </c>
    </row>
    <row r="50" spans="7:13">
      <c r="G50" s="66" t="s">
        <v>64</v>
      </c>
      <c r="H50" s="8" t="s">
        <v>102</v>
      </c>
      <c r="I50" s="19">
        <v>43770</v>
      </c>
      <c r="J50" s="19">
        <v>43770</v>
      </c>
      <c r="K50" s="20">
        <v>0</v>
      </c>
      <c r="L50" s="8" t="s">
        <v>27</v>
      </c>
      <c r="M50" s="16">
        <v>0.5</v>
      </c>
    </row>
    <row r="51" spans="7:13">
      <c r="G51" s="66" t="s">
        <v>65</v>
      </c>
      <c r="H51" s="8" t="s">
        <v>103</v>
      </c>
      <c r="I51" s="19">
        <v>43770</v>
      </c>
      <c r="J51" s="19">
        <v>43776</v>
      </c>
      <c r="K51" s="20">
        <v>0</v>
      </c>
      <c r="L51" s="8" t="s">
        <v>27</v>
      </c>
      <c r="M51" s="16">
        <v>7</v>
      </c>
    </row>
    <row r="52" spans="7:13">
      <c r="G52" s="66" t="s">
        <v>79</v>
      </c>
      <c r="H52" s="8" t="s">
        <v>104</v>
      </c>
      <c r="I52" s="19">
        <v>43776</v>
      </c>
      <c r="J52" s="19">
        <v>43777</v>
      </c>
      <c r="K52" s="20">
        <v>0</v>
      </c>
      <c r="L52" s="8" t="s">
        <v>27</v>
      </c>
      <c r="M52" s="16">
        <v>2</v>
      </c>
    </row>
    <row r="53" spans="7:13">
      <c r="G53" s="66" t="s">
        <v>80</v>
      </c>
      <c r="H53" s="8" t="s">
        <v>105</v>
      </c>
      <c r="I53" s="19">
        <v>43780</v>
      </c>
      <c r="J53" s="19">
        <v>43781</v>
      </c>
      <c r="K53" s="20">
        <v>0</v>
      </c>
      <c r="L53" s="8" t="s">
        <v>27</v>
      </c>
      <c r="M53" s="16">
        <v>2</v>
      </c>
    </row>
    <row r="54" spans="7:13">
      <c r="G54" s="66" t="s">
        <v>81</v>
      </c>
      <c r="H54" s="8" t="s">
        <v>106</v>
      </c>
      <c r="I54" s="19">
        <v>43781</v>
      </c>
      <c r="J54" s="19">
        <v>43782</v>
      </c>
      <c r="K54" s="20">
        <v>0</v>
      </c>
      <c r="L54" s="8" t="s">
        <v>27</v>
      </c>
      <c r="M54" s="16">
        <v>2</v>
      </c>
    </row>
    <row r="55" spans="7:13">
      <c r="G55" s="66" t="s">
        <v>66</v>
      </c>
      <c r="H55" s="8" t="s">
        <v>20</v>
      </c>
      <c r="I55" s="19">
        <v>43783</v>
      </c>
      <c r="J55" s="19">
        <v>43783</v>
      </c>
      <c r="K55" s="20">
        <v>0</v>
      </c>
      <c r="L55" s="8" t="s">
        <v>27</v>
      </c>
      <c r="M55" s="16">
        <v>1</v>
      </c>
    </row>
    <row r="56" spans="7:13">
      <c r="G56" s="66" t="s">
        <v>67</v>
      </c>
      <c r="H56" s="8" t="s">
        <v>82</v>
      </c>
      <c r="I56" s="19">
        <v>43783</v>
      </c>
      <c r="J56" s="19">
        <v>43783</v>
      </c>
      <c r="K56" s="20">
        <v>0</v>
      </c>
      <c r="L56" s="8" t="s">
        <v>27</v>
      </c>
      <c r="M56" s="16">
        <v>0.5</v>
      </c>
    </row>
    <row r="57" spans="7:13">
      <c r="G57" s="67" t="s">
        <v>68</v>
      </c>
      <c r="H57" s="21" t="s">
        <v>83</v>
      </c>
      <c r="I57" s="22">
        <v>43783</v>
      </c>
      <c r="J57" s="22">
        <v>43783</v>
      </c>
      <c r="K57" s="23">
        <v>0</v>
      </c>
      <c r="L57" s="21" t="s">
        <v>27</v>
      </c>
      <c r="M57" s="17">
        <v>0.5</v>
      </c>
    </row>
  </sheetData>
  <mergeCells count="6">
    <mergeCell ref="B4:D4"/>
    <mergeCell ref="B5:D8"/>
    <mergeCell ref="B9:D9"/>
    <mergeCell ref="G14:M14"/>
    <mergeCell ref="B1:D1"/>
    <mergeCell ref="G1:M1"/>
  </mergeCells>
  <pageMargins left="0.511811024" right="0.511811024" top="0.78740157499999996" bottom="0.78740157499999996" header="0.31496062000000002" footer="0.31496062000000002"/>
  <pageSetup paperSize="9" scale="65" orientation="landscape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33"/>
  <sheetViews>
    <sheetView topLeftCell="A2" zoomScale="70" zoomScaleNormal="70" workbookViewId="0">
      <selection activeCell="B20" sqref="B20"/>
    </sheetView>
  </sheetViews>
  <sheetFormatPr defaultRowHeight="15"/>
  <cols>
    <col min="1" max="1" width="8.5" bestFit="1" customWidth="1"/>
    <col min="2" max="2" width="13.5" bestFit="1" customWidth="1"/>
    <col min="3" max="3" width="12.625" bestFit="1" customWidth="1"/>
    <col min="4" max="4" width="15.25" bestFit="1" customWidth="1"/>
    <col min="5" max="10" width="0" hidden="1" customWidth="1"/>
    <col min="11" max="23" width="22.625" bestFit="1" customWidth="1"/>
    <col min="24" max="24" width="10" bestFit="1" customWidth="1"/>
  </cols>
  <sheetData>
    <row r="1" spans="1:4" hidden="1"/>
    <row r="2" spans="1:4">
      <c r="A2" s="12" t="s">
        <v>44</v>
      </c>
      <c r="B2" s="12" t="s">
        <v>51</v>
      </c>
      <c r="C2" s="12" t="s">
        <v>46</v>
      </c>
      <c r="D2" s="12" t="s">
        <v>47</v>
      </c>
    </row>
    <row r="3" spans="1:4">
      <c r="A3" t="s">
        <v>3</v>
      </c>
      <c r="B3" s="13">
        <v>43746</v>
      </c>
      <c r="C3">
        <v>0.5</v>
      </c>
      <c r="D3">
        <v>0.5</v>
      </c>
    </row>
    <row r="4" spans="1:4">
      <c r="A4" t="s">
        <v>6</v>
      </c>
      <c r="B4" s="13">
        <v>43746</v>
      </c>
      <c r="C4">
        <v>0.5</v>
      </c>
      <c r="D4">
        <v>0.5</v>
      </c>
    </row>
    <row r="5" spans="1:4">
      <c r="A5" t="s">
        <v>9</v>
      </c>
      <c r="B5" s="13">
        <v>43747</v>
      </c>
      <c r="C5">
        <v>0.5</v>
      </c>
      <c r="D5">
        <v>0.5</v>
      </c>
    </row>
    <row r="6" spans="1:4">
      <c r="A6" t="s">
        <v>7</v>
      </c>
      <c r="B6" s="13">
        <v>43747</v>
      </c>
      <c r="C6">
        <v>0.5</v>
      </c>
      <c r="D6">
        <v>0.5</v>
      </c>
    </row>
    <row r="7" spans="1:4">
      <c r="A7" t="s">
        <v>8</v>
      </c>
      <c r="B7" s="13">
        <v>43747</v>
      </c>
      <c r="C7">
        <v>0.5</v>
      </c>
      <c r="D7">
        <v>0.5</v>
      </c>
    </row>
    <row r="8" spans="1:4">
      <c r="A8" t="s">
        <v>4</v>
      </c>
      <c r="B8" s="13">
        <v>43747</v>
      </c>
      <c r="C8">
        <v>0.4</v>
      </c>
      <c r="D8">
        <v>0.4</v>
      </c>
    </row>
    <row r="9" spans="1:4">
      <c r="A9" t="s">
        <v>11</v>
      </c>
      <c r="B9" s="13">
        <v>43747</v>
      </c>
      <c r="C9">
        <v>0.1</v>
      </c>
      <c r="D9">
        <v>0.1</v>
      </c>
    </row>
    <row r="10" spans="1:4">
      <c r="A10" t="s">
        <v>12</v>
      </c>
      <c r="B10" s="13">
        <v>43742</v>
      </c>
      <c r="C10">
        <v>0.5</v>
      </c>
      <c r="D10">
        <v>0.5</v>
      </c>
    </row>
    <row r="11" spans="1:4">
      <c r="A11" t="s">
        <v>13</v>
      </c>
      <c r="B11" s="13">
        <v>43751</v>
      </c>
      <c r="C11">
        <v>4</v>
      </c>
      <c r="D11">
        <v>4</v>
      </c>
    </row>
    <row r="12" spans="1:4">
      <c r="A12" t="s">
        <v>14</v>
      </c>
      <c r="B12" s="13">
        <v>43753</v>
      </c>
      <c r="C12">
        <v>1</v>
      </c>
      <c r="D12">
        <v>1</v>
      </c>
    </row>
    <row r="13" spans="1:4">
      <c r="A13" t="s">
        <v>15</v>
      </c>
      <c r="B13" s="13">
        <v>43754</v>
      </c>
      <c r="C13">
        <v>0.5</v>
      </c>
      <c r="D13">
        <v>0.5</v>
      </c>
    </row>
    <row r="14" spans="1:4">
      <c r="A14" t="s">
        <v>62</v>
      </c>
      <c r="B14" s="13">
        <v>43754</v>
      </c>
      <c r="C14">
        <v>0.5</v>
      </c>
      <c r="D14">
        <v>0.5</v>
      </c>
    </row>
    <row r="15" spans="1:4">
      <c r="A15" t="s">
        <v>63</v>
      </c>
      <c r="B15" s="13">
        <v>43758</v>
      </c>
      <c r="C15">
        <v>5</v>
      </c>
      <c r="D15">
        <v>5</v>
      </c>
    </row>
    <row r="16" spans="1:4">
      <c r="A16" t="s">
        <v>16</v>
      </c>
      <c r="B16" s="13">
        <v>43754</v>
      </c>
      <c r="C16">
        <v>0.5</v>
      </c>
      <c r="D16">
        <v>0.5</v>
      </c>
    </row>
    <row r="17" spans="1:4">
      <c r="A17" t="s">
        <v>18</v>
      </c>
      <c r="B17" s="13">
        <v>43754</v>
      </c>
      <c r="C17">
        <v>0.5</v>
      </c>
      <c r="D17">
        <v>0.5</v>
      </c>
    </row>
    <row r="18" spans="1:4">
      <c r="A18" t="s">
        <v>19</v>
      </c>
      <c r="B18" s="13">
        <v>43755</v>
      </c>
      <c r="C18">
        <v>2</v>
      </c>
      <c r="D18">
        <v>2</v>
      </c>
    </row>
    <row r="19" spans="1:4">
      <c r="A19" t="s">
        <v>5</v>
      </c>
      <c r="B19" s="13">
        <v>43756</v>
      </c>
      <c r="C19">
        <v>0.5</v>
      </c>
      <c r="D19">
        <v>0.5</v>
      </c>
    </row>
    <row r="20" spans="1:4">
      <c r="A20" t="s">
        <v>17</v>
      </c>
      <c r="B20" s="13">
        <v>43762</v>
      </c>
      <c r="C20">
        <v>7</v>
      </c>
      <c r="D20">
        <v>7</v>
      </c>
    </row>
    <row r="21" spans="1:4">
      <c r="A21" t="s">
        <v>76</v>
      </c>
      <c r="B21" s="13">
        <v>43763</v>
      </c>
      <c r="C21">
        <v>2</v>
      </c>
      <c r="D21">
        <v>2</v>
      </c>
    </row>
    <row r="22" spans="1:4">
      <c r="A22" t="s">
        <v>77</v>
      </c>
      <c r="B22" s="13">
        <v>43767</v>
      </c>
      <c r="C22">
        <v>2</v>
      </c>
      <c r="D22">
        <v>2</v>
      </c>
    </row>
    <row r="23" spans="1:4">
      <c r="A23" t="s">
        <v>78</v>
      </c>
      <c r="B23" s="13">
        <v>43768</v>
      </c>
      <c r="C23">
        <v>2</v>
      </c>
      <c r="D23">
        <v>2</v>
      </c>
    </row>
    <row r="24" spans="1:4">
      <c r="A24" t="s">
        <v>21</v>
      </c>
      <c r="B24" s="13">
        <v>43768</v>
      </c>
      <c r="C24">
        <v>0.5</v>
      </c>
      <c r="D24">
        <v>0.5</v>
      </c>
    </row>
    <row r="25" spans="1:4">
      <c r="A25" t="s">
        <v>22</v>
      </c>
      <c r="B25" s="13">
        <v>43768</v>
      </c>
      <c r="C25">
        <v>0.5</v>
      </c>
      <c r="D25">
        <v>0.5</v>
      </c>
    </row>
    <row r="26" spans="1:4">
      <c r="A26" t="s">
        <v>10</v>
      </c>
      <c r="B26" s="13">
        <v>43769</v>
      </c>
      <c r="C26">
        <v>2</v>
      </c>
      <c r="D26">
        <v>2</v>
      </c>
    </row>
    <row r="27" spans="1:4">
      <c r="A27" t="s">
        <v>64</v>
      </c>
      <c r="B27" s="13">
        <v>43770</v>
      </c>
      <c r="C27">
        <v>0.5</v>
      </c>
      <c r="D27">
        <v>0.5</v>
      </c>
    </row>
    <row r="28" spans="1:4">
      <c r="A28" t="s">
        <v>65</v>
      </c>
      <c r="B28" s="13">
        <v>43776</v>
      </c>
      <c r="C28">
        <v>7</v>
      </c>
      <c r="D28">
        <v>7</v>
      </c>
    </row>
    <row r="29" spans="1:4">
      <c r="A29" t="s">
        <v>79</v>
      </c>
      <c r="B29" s="13">
        <v>43777</v>
      </c>
      <c r="C29">
        <v>2</v>
      </c>
      <c r="D29">
        <v>2</v>
      </c>
    </row>
    <row r="30" spans="1:4">
      <c r="A30" t="s">
        <v>80</v>
      </c>
      <c r="B30" s="13">
        <v>43781</v>
      </c>
      <c r="C30">
        <v>2</v>
      </c>
      <c r="D30">
        <v>2</v>
      </c>
    </row>
    <row r="31" spans="1:4">
      <c r="A31" t="s">
        <v>81</v>
      </c>
      <c r="B31" s="13">
        <v>43782</v>
      </c>
      <c r="C31">
        <v>2</v>
      </c>
      <c r="D31">
        <v>2</v>
      </c>
    </row>
    <row r="32" spans="1:4">
      <c r="A32" t="s">
        <v>67</v>
      </c>
      <c r="B32" s="13">
        <v>43783</v>
      </c>
      <c r="C32">
        <v>0.5</v>
      </c>
      <c r="D32">
        <v>0.5</v>
      </c>
    </row>
    <row r="33" spans="1:4">
      <c r="A33" t="s">
        <v>68</v>
      </c>
      <c r="B33" s="13">
        <v>43783</v>
      </c>
      <c r="C33">
        <v>0.5</v>
      </c>
      <c r="D33">
        <v>0.5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8</vt:i4>
      </vt:variant>
    </vt:vector>
  </HeadingPairs>
  <TitlesOfParts>
    <vt:vector size="12" baseType="lpstr">
      <vt:lpstr>Cronograma</vt:lpstr>
      <vt:lpstr>Principal</vt:lpstr>
      <vt:lpstr>Visão Geral do Projeto</vt:lpstr>
      <vt:lpstr>Prazo</vt:lpstr>
      <vt:lpstr>_fld_ProjectName</vt:lpstr>
      <vt:lpstr>_fld_StartDateReal</vt:lpstr>
      <vt:lpstr>_TimeFrameSelected</vt:lpstr>
      <vt:lpstr>Formula1</vt:lpstr>
      <vt:lpstr>Formula2</vt:lpstr>
      <vt:lpstr>Formula3</vt:lpstr>
      <vt:lpstr>Formula4</vt:lpstr>
      <vt:lpstr>Formula5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cp:lastModifiedBy/>
  <dcterms:created xsi:type="dcterms:W3CDTF">2019-10-04T04:20:03Z</dcterms:created>
  <dcterms:modified xsi:type="dcterms:W3CDTF">2019-10-23T18:12:07Z</dcterms:modified>
  <cp:version/>
</cp:coreProperties>
</file>